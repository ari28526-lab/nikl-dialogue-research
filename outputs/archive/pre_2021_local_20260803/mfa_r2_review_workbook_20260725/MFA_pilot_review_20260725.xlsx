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안내" sheetId="1" state="visible" r:id="rId1"/>
    <sheet name="검토입력" sheetId="2" state="visible" r:id="rId2"/>
    <sheet name="진행요약" sheetId="3" state="visible" r:id="rId3"/>
    <sheet name="원본인덱스" sheetId="4" state="visible" r:id="rId4"/>
    <sheet name="선택값" sheetId="5" state="hidden" r:id="rId5"/>
  </sheets>
  <definedNames>
    <definedName name="_xlnm._FilterDatabase" localSheetId="1" hidden="1">'검토입력'!$A$1:$AG$61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699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E1E8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3" fillId="0" borderId="0" applyAlignment="1" pivotButton="0" quotePrefix="0" xfId="1">
      <alignment vertical="top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164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3" fillId="3" borderId="0" applyAlignment="1" pivotButton="0" quotePrefix="0" xfId="1">
      <alignment vertical="top"/>
    </xf>
    <xf numFmtId="9" fontId="0" fillId="0" borderId="0" pivotButton="0" quotePrefix="0" xfId="0"/>
  </cellXfs>
  <cellStyles count="2">
    <cellStyle name="Normal" xfId="0" builtinId="0" hidden="0"/>
    <cellStyle name="Hyperlink" xfId="1" builtinId="8" hidden="0"/>
  </cellStyles>
  <dxfs count="4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GuideTable" displayName="GuideTable" ref="A1:B17" headerRowCount="1">
  <autoFilter ref="A1:B17"/>
  <tableColumns count="2">
    <tableColumn id="1" name="항목"/>
    <tableColumn id="2" name="내용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viewTable" displayName="ReviewTable" ref="A1:AG61" headerRowCount="1">
  <autoFilter ref="A1:AG61"/>
  <tableColumns count="33">
    <tableColumn id="1" name="번호"/>
    <tableColumn id="2" name="우선 확인"/>
    <tableColumn id="3" name="연도"/>
    <tableColumn id="4" name="발화 ID"/>
    <tableColumn id="5" name="화자 ID"/>
    <tableColumn id="6" name="공동 참여자 ID"/>
    <tableColumn id="7" name="정규형"/>
    <tableColumn id="8" name="원문"/>
    <tableColumn id="9" name="발음 참조"/>
    <tableColumn id="10" name="WAV"/>
    <tableColumn id="11" name="TextGrid"/>
    <tableColumn id="12" name="CSV"/>
    <tableColumn id="13" name="LAB"/>
    <tableColumn id="14" name="음성-문장 일치"/>
    <tableColumn id="15" name="words 정렬"/>
    <tableColumn id="16" name="phones 정렬"/>
    <tableColumn id="17" name="morphemes 정렬"/>
    <tableColumn id="18" name="처음·끝 경계"/>
    <tableColumn id="19" name="original/pron 표시"/>
    <tableColumn id="20" name="화자·참여자 ID"/>
    <tableColumn id="21" name="종합 판정"/>
    <tableColumn id="22" name="재검토"/>
    <tableColumn id="23" name="비고"/>
    <tableColumn id="24" name="검토자"/>
    <tableColumn id="25" name="검토일"/>
    <tableColumn id="26" name="검토 완료"/>
    <tableColumn id="27" name="대화 ID"/>
    <tableColumn id="28" name="전체 화자 ID"/>
    <tableColumn id="29" name="발음 근거"/>
    <tableColumn id="30" name="자동 tier 경고"/>
    <tableColumn id="31" name="original 정렬 상태"/>
    <tableColumn id="32" name="발음 tier 정렬 상태"/>
    <tableColumn id="33" name="원본 행 번호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YearSummaryTable" displayName="YearSummaryTable" ref="A11:G17" headerRowCount="1">
  <autoFilter ref="A11:G17"/>
  <tableColumns count="7">
    <tableColumn id="1" name="연도"/>
    <tableColumn id="2" name="대상"/>
    <tableColumn id="3" name="완료"/>
    <tableColumn id="4" name="진행률"/>
    <tableColumn id="5" name="통과"/>
    <tableColumn id="6" name="수정 필요"/>
    <tableColumn id="7" name="보류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awIndexTable" displayName="RawIndexTable" ref="A1:Y61" headerRowCount="1">
  <autoFilter ref="A1:Y61"/>
  <tableColumns count="25">
    <tableColumn id="1" name="year"/>
    <tableColumn id="2" name="speaker_id"/>
    <tableColumn id="3" name="session_id"/>
    <tableColumn id="4" name="dialogue_id"/>
    <tableColumn id="5" name="dialogue_speaker_ids"/>
    <tableColumn id="6" name="n_dialogue_speakers"/>
    <tableColumn id="7" name="co_speaker_ids"/>
    <tableColumn id="8" name="n_co_speakers"/>
    <tableColumn id="9" name="utt_id"/>
    <tableColumn id="10" name="form"/>
    <tableColumn id="11" name="original_form"/>
    <tableColumn id="12" name="pron_pred_hangul_existing"/>
    <tableColumn id="13" name="pron_reference_form"/>
    <tableColumn id="14" name="pron_reference_hangul"/>
    <tableColumn id="15" name="pron_reference_source"/>
    <tableColumn id="16" name="pron_reference_status"/>
    <tableColumn id="17" name="original_form_align_status"/>
    <tableColumn id="18" name="pron_reference_align_status"/>
    <tableColumn id="19" name="tier_warning"/>
    <tableColumn id="20" name="wav_relpath"/>
    <tableColumn id="21" name="lab_relpath"/>
    <tableColumn id="22" name="textgrid_relpath"/>
    <tableColumn id="23" name="csv_relpath"/>
    <tableColumn id="24" name="review_status"/>
    <tableColumn id="25" name="review_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2020/SDRW2000000762.1.1.178.wav" TargetMode="External" Id="rId1" /><Relationship Type="http://schemas.openxmlformats.org/officeDocument/2006/relationships/hyperlink" Target="2020/SDRW2000000762.1.1.178.TextGrid" TargetMode="External" Id="rId2" /><Relationship Type="http://schemas.openxmlformats.org/officeDocument/2006/relationships/hyperlink" Target="2020/SDRW2000000762.1.1.178.csv" TargetMode="External" Id="rId3" /><Relationship Type="http://schemas.openxmlformats.org/officeDocument/2006/relationships/hyperlink" Target="2020/SDRW2000000762.1.1.178.lab" TargetMode="External" Id="rId4" /><Relationship Type="http://schemas.openxmlformats.org/officeDocument/2006/relationships/hyperlink" Target="2020/SDRW2000000762.1.1.193.wav" TargetMode="External" Id="rId5" /><Relationship Type="http://schemas.openxmlformats.org/officeDocument/2006/relationships/hyperlink" Target="2020/SDRW2000000762.1.1.193.TextGrid" TargetMode="External" Id="rId6" /><Relationship Type="http://schemas.openxmlformats.org/officeDocument/2006/relationships/hyperlink" Target="2020/SDRW2000000762.1.1.193.csv" TargetMode="External" Id="rId7" /><Relationship Type="http://schemas.openxmlformats.org/officeDocument/2006/relationships/hyperlink" Target="2020/SDRW2000000762.1.1.193.lab" TargetMode="External" Id="rId8" /><Relationship Type="http://schemas.openxmlformats.org/officeDocument/2006/relationships/hyperlink" Target="2020/SDRW2000001052.1.1.105.wav" TargetMode="External" Id="rId9" /><Relationship Type="http://schemas.openxmlformats.org/officeDocument/2006/relationships/hyperlink" Target="2020/SDRW2000001052.1.1.105.TextGrid" TargetMode="External" Id="rId10" /><Relationship Type="http://schemas.openxmlformats.org/officeDocument/2006/relationships/hyperlink" Target="2020/SDRW2000001052.1.1.105.csv" TargetMode="External" Id="rId11" /><Relationship Type="http://schemas.openxmlformats.org/officeDocument/2006/relationships/hyperlink" Target="2020/SDRW2000001052.1.1.105.lab" TargetMode="External" Id="rId12" /><Relationship Type="http://schemas.openxmlformats.org/officeDocument/2006/relationships/hyperlink" Target="2020/SDRW2000001052.1.1.200.wav" TargetMode="External" Id="rId13" /><Relationship Type="http://schemas.openxmlformats.org/officeDocument/2006/relationships/hyperlink" Target="2020/SDRW2000001052.1.1.200.TextGrid" TargetMode="External" Id="rId14" /><Relationship Type="http://schemas.openxmlformats.org/officeDocument/2006/relationships/hyperlink" Target="2020/SDRW2000001052.1.1.200.csv" TargetMode="External" Id="rId15" /><Relationship Type="http://schemas.openxmlformats.org/officeDocument/2006/relationships/hyperlink" Target="2020/SDRW2000001052.1.1.200.lab" TargetMode="External" Id="rId16" /><Relationship Type="http://schemas.openxmlformats.org/officeDocument/2006/relationships/hyperlink" Target="2020/SDRW2000001477.1.1.288.wav" TargetMode="External" Id="rId17" /><Relationship Type="http://schemas.openxmlformats.org/officeDocument/2006/relationships/hyperlink" Target="2020/SDRW2000001477.1.1.288.TextGrid" TargetMode="External" Id="rId18" /><Relationship Type="http://schemas.openxmlformats.org/officeDocument/2006/relationships/hyperlink" Target="2020/SDRW2000001477.1.1.288.csv" TargetMode="External" Id="rId19" /><Relationship Type="http://schemas.openxmlformats.org/officeDocument/2006/relationships/hyperlink" Target="2020/SDRW2000001477.1.1.288.lab" TargetMode="External" Id="rId20" /><Relationship Type="http://schemas.openxmlformats.org/officeDocument/2006/relationships/hyperlink" Target="2020/SDRW2000001477.1.1.146.wav" TargetMode="External" Id="rId21" /><Relationship Type="http://schemas.openxmlformats.org/officeDocument/2006/relationships/hyperlink" Target="2020/SDRW2000001477.1.1.146.TextGrid" TargetMode="External" Id="rId22" /><Relationship Type="http://schemas.openxmlformats.org/officeDocument/2006/relationships/hyperlink" Target="2020/SDRW2000001477.1.1.146.csv" TargetMode="External" Id="rId23" /><Relationship Type="http://schemas.openxmlformats.org/officeDocument/2006/relationships/hyperlink" Target="2020/SDRW2000001477.1.1.146.lab" TargetMode="External" Id="rId24" /><Relationship Type="http://schemas.openxmlformats.org/officeDocument/2006/relationships/hyperlink" Target="2020/SDRW2000001593.1.1.301.wav" TargetMode="External" Id="rId25" /><Relationship Type="http://schemas.openxmlformats.org/officeDocument/2006/relationships/hyperlink" Target="2020/SDRW2000001593.1.1.301.TextGrid" TargetMode="External" Id="rId26" /><Relationship Type="http://schemas.openxmlformats.org/officeDocument/2006/relationships/hyperlink" Target="2020/SDRW2000001593.1.1.301.csv" TargetMode="External" Id="rId27" /><Relationship Type="http://schemas.openxmlformats.org/officeDocument/2006/relationships/hyperlink" Target="2020/SDRW2000001593.1.1.301.lab" TargetMode="External" Id="rId28" /><Relationship Type="http://schemas.openxmlformats.org/officeDocument/2006/relationships/hyperlink" Target="2020/SDRW2000001593.1.1.325.wav" TargetMode="External" Id="rId29" /><Relationship Type="http://schemas.openxmlformats.org/officeDocument/2006/relationships/hyperlink" Target="2020/SDRW2000001593.1.1.325.TextGrid" TargetMode="External" Id="rId30" /><Relationship Type="http://schemas.openxmlformats.org/officeDocument/2006/relationships/hyperlink" Target="2020/SDRW2000001593.1.1.325.csv" TargetMode="External" Id="rId31" /><Relationship Type="http://schemas.openxmlformats.org/officeDocument/2006/relationships/hyperlink" Target="2020/SDRW2000001593.1.1.325.lab" TargetMode="External" Id="rId32" /><Relationship Type="http://schemas.openxmlformats.org/officeDocument/2006/relationships/hyperlink" Target="2020/SDRW2000001640.1.1.364.wav" TargetMode="External" Id="rId33" /><Relationship Type="http://schemas.openxmlformats.org/officeDocument/2006/relationships/hyperlink" Target="2020/SDRW2000001640.1.1.364.TextGrid" TargetMode="External" Id="rId34" /><Relationship Type="http://schemas.openxmlformats.org/officeDocument/2006/relationships/hyperlink" Target="2020/SDRW2000001640.1.1.364.csv" TargetMode="External" Id="rId35" /><Relationship Type="http://schemas.openxmlformats.org/officeDocument/2006/relationships/hyperlink" Target="2020/SDRW2000001640.1.1.364.lab" TargetMode="External" Id="rId36" /><Relationship Type="http://schemas.openxmlformats.org/officeDocument/2006/relationships/hyperlink" Target="2020/SDRW2000001640.1.1.361.wav" TargetMode="External" Id="rId37" /><Relationship Type="http://schemas.openxmlformats.org/officeDocument/2006/relationships/hyperlink" Target="2020/SDRW2000001640.1.1.361.TextGrid" TargetMode="External" Id="rId38" /><Relationship Type="http://schemas.openxmlformats.org/officeDocument/2006/relationships/hyperlink" Target="2020/SDRW2000001640.1.1.361.csv" TargetMode="External" Id="rId39" /><Relationship Type="http://schemas.openxmlformats.org/officeDocument/2006/relationships/hyperlink" Target="2020/SDRW2000001640.1.1.361.lab" TargetMode="External" Id="rId40" /><Relationship Type="http://schemas.openxmlformats.org/officeDocument/2006/relationships/hyperlink" Target="2021/SDRW2100001431.1.1.103.wav" TargetMode="External" Id="rId41" /><Relationship Type="http://schemas.openxmlformats.org/officeDocument/2006/relationships/hyperlink" Target="2021/SDRW2100001431.1.1.103.TextGrid" TargetMode="External" Id="rId42" /><Relationship Type="http://schemas.openxmlformats.org/officeDocument/2006/relationships/hyperlink" Target="2021/SDRW2100001431.1.1.103.csv" TargetMode="External" Id="rId43" /><Relationship Type="http://schemas.openxmlformats.org/officeDocument/2006/relationships/hyperlink" Target="2021/SDRW2100001431.1.1.103.lab" TargetMode="External" Id="rId44" /><Relationship Type="http://schemas.openxmlformats.org/officeDocument/2006/relationships/hyperlink" Target="2021/SDRW2100001431.1.1.135.wav" TargetMode="External" Id="rId45" /><Relationship Type="http://schemas.openxmlformats.org/officeDocument/2006/relationships/hyperlink" Target="2021/SDRW2100001431.1.1.135.TextGrid" TargetMode="External" Id="rId46" /><Relationship Type="http://schemas.openxmlformats.org/officeDocument/2006/relationships/hyperlink" Target="2021/SDRW2100001431.1.1.135.csv" TargetMode="External" Id="rId47" /><Relationship Type="http://schemas.openxmlformats.org/officeDocument/2006/relationships/hyperlink" Target="2021/SDRW2100001431.1.1.135.lab" TargetMode="External" Id="rId48" /><Relationship Type="http://schemas.openxmlformats.org/officeDocument/2006/relationships/hyperlink" Target="2021/SDRW2100003457.1.1.43.wav" TargetMode="External" Id="rId49" /><Relationship Type="http://schemas.openxmlformats.org/officeDocument/2006/relationships/hyperlink" Target="2021/SDRW2100003457.1.1.43.TextGrid" TargetMode="External" Id="rId50" /><Relationship Type="http://schemas.openxmlformats.org/officeDocument/2006/relationships/hyperlink" Target="2021/SDRW2100003457.1.1.43.csv" TargetMode="External" Id="rId51" /><Relationship Type="http://schemas.openxmlformats.org/officeDocument/2006/relationships/hyperlink" Target="2021/SDRW2100003457.1.1.43.lab" TargetMode="External" Id="rId52" /><Relationship Type="http://schemas.openxmlformats.org/officeDocument/2006/relationships/hyperlink" Target="2021/SDRW2100003457.1.1.200.wav" TargetMode="External" Id="rId53" /><Relationship Type="http://schemas.openxmlformats.org/officeDocument/2006/relationships/hyperlink" Target="2021/SDRW2100003457.1.1.200.TextGrid" TargetMode="External" Id="rId54" /><Relationship Type="http://schemas.openxmlformats.org/officeDocument/2006/relationships/hyperlink" Target="2021/SDRW2100003457.1.1.200.csv" TargetMode="External" Id="rId55" /><Relationship Type="http://schemas.openxmlformats.org/officeDocument/2006/relationships/hyperlink" Target="2021/SDRW2100003457.1.1.200.lab" TargetMode="External" Id="rId56" /><Relationship Type="http://schemas.openxmlformats.org/officeDocument/2006/relationships/hyperlink" Target="2021/SDRW2100001607.1.1.228.wav" TargetMode="External" Id="rId57" /><Relationship Type="http://schemas.openxmlformats.org/officeDocument/2006/relationships/hyperlink" Target="2021/SDRW2100001607.1.1.228.TextGrid" TargetMode="External" Id="rId58" /><Relationship Type="http://schemas.openxmlformats.org/officeDocument/2006/relationships/hyperlink" Target="2021/SDRW2100001607.1.1.228.csv" TargetMode="External" Id="rId59" /><Relationship Type="http://schemas.openxmlformats.org/officeDocument/2006/relationships/hyperlink" Target="2021/SDRW2100001607.1.1.228.lab" TargetMode="External" Id="rId60" /><Relationship Type="http://schemas.openxmlformats.org/officeDocument/2006/relationships/hyperlink" Target="2021/SDRW2100001607.1.1.485.wav" TargetMode="External" Id="rId61" /><Relationship Type="http://schemas.openxmlformats.org/officeDocument/2006/relationships/hyperlink" Target="2021/SDRW2100001607.1.1.485.TextGrid" TargetMode="External" Id="rId62" /><Relationship Type="http://schemas.openxmlformats.org/officeDocument/2006/relationships/hyperlink" Target="2021/SDRW2100001607.1.1.485.csv" TargetMode="External" Id="rId63" /><Relationship Type="http://schemas.openxmlformats.org/officeDocument/2006/relationships/hyperlink" Target="2021/SDRW2100001607.1.1.485.lab" TargetMode="External" Id="rId64" /><Relationship Type="http://schemas.openxmlformats.org/officeDocument/2006/relationships/hyperlink" Target="2021/SDRW2100001646.1.1.113.wav" TargetMode="External" Id="rId65" /><Relationship Type="http://schemas.openxmlformats.org/officeDocument/2006/relationships/hyperlink" Target="2021/SDRW2100001646.1.1.113.TextGrid" TargetMode="External" Id="rId66" /><Relationship Type="http://schemas.openxmlformats.org/officeDocument/2006/relationships/hyperlink" Target="2021/SDRW2100001646.1.1.113.csv" TargetMode="External" Id="rId67" /><Relationship Type="http://schemas.openxmlformats.org/officeDocument/2006/relationships/hyperlink" Target="2021/SDRW2100001646.1.1.113.lab" TargetMode="External" Id="rId68" /><Relationship Type="http://schemas.openxmlformats.org/officeDocument/2006/relationships/hyperlink" Target="2021/SDRW2100001646.1.1.269.wav" TargetMode="External" Id="rId69" /><Relationship Type="http://schemas.openxmlformats.org/officeDocument/2006/relationships/hyperlink" Target="2021/SDRW2100001646.1.1.269.TextGrid" TargetMode="External" Id="rId70" /><Relationship Type="http://schemas.openxmlformats.org/officeDocument/2006/relationships/hyperlink" Target="2021/SDRW2100001646.1.1.269.csv" TargetMode="External" Id="rId71" /><Relationship Type="http://schemas.openxmlformats.org/officeDocument/2006/relationships/hyperlink" Target="2021/SDRW2100001646.1.1.269.lab" TargetMode="External" Id="rId72" /><Relationship Type="http://schemas.openxmlformats.org/officeDocument/2006/relationships/hyperlink" Target="2021/SDRW2100004382.1.1.141.wav" TargetMode="External" Id="rId73" /><Relationship Type="http://schemas.openxmlformats.org/officeDocument/2006/relationships/hyperlink" Target="2021/SDRW2100004382.1.1.141.TextGrid" TargetMode="External" Id="rId74" /><Relationship Type="http://schemas.openxmlformats.org/officeDocument/2006/relationships/hyperlink" Target="2021/SDRW2100004382.1.1.141.csv" TargetMode="External" Id="rId75" /><Relationship Type="http://schemas.openxmlformats.org/officeDocument/2006/relationships/hyperlink" Target="2021/SDRW2100004382.1.1.141.lab" TargetMode="External" Id="rId76" /><Relationship Type="http://schemas.openxmlformats.org/officeDocument/2006/relationships/hyperlink" Target="2021/SDRW2100004382.1.1.298.wav" TargetMode="External" Id="rId77" /><Relationship Type="http://schemas.openxmlformats.org/officeDocument/2006/relationships/hyperlink" Target="2021/SDRW2100004382.1.1.298.TextGrid" TargetMode="External" Id="rId78" /><Relationship Type="http://schemas.openxmlformats.org/officeDocument/2006/relationships/hyperlink" Target="2021/SDRW2100004382.1.1.298.csv" TargetMode="External" Id="rId79" /><Relationship Type="http://schemas.openxmlformats.org/officeDocument/2006/relationships/hyperlink" Target="2021/SDRW2100004382.1.1.298.lab" TargetMode="External" Id="rId80" /><Relationship Type="http://schemas.openxmlformats.org/officeDocument/2006/relationships/hyperlink" Target="2022/SDRW2200002419.1.1.72.wav" TargetMode="External" Id="rId81" /><Relationship Type="http://schemas.openxmlformats.org/officeDocument/2006/relationships/hyperlink" Target="2022/SDRW2200002419.1.1.72.TextGrid" TargetMode="External" Id="rId82" /><Relationship Type="http://schemas.openxmlformats.org/officeDocument/2006/relationships/hyperlink" Target="2022/SDRW2200002419.1.1.72.csv" TargetMode="External" Id="rId83" /><Relationship Type="http://schemas.openxmlformats.org/officeDocument/2006/relationships/hyperlink" Target="2022/SDRW2200002419.1.1.72.lab" TargetMode="External" Id="rId84" /><Relationship Type="http://schemas.openxmlformats.org/officeDocument/2006/relationships/hyperlink" Target="2022/SDRW2200002419.1.1.411.wav" TargetMode="External" Id="rId85" /><Relationship Type="http://schemas.openxmlformats.org/officeDocument/2006/relationships/hyperlink" Target="2022/SDRW2200002419.1.1.411.TextGrid" TargetMode="External" Id="rId86" /><Relationship Type="http://schemas.openxmlformats.org/officeDocument/2006/relationships/hyperlink" Target="2022/SDRW2200002419.1.1.411.csv" TargetMode="External" Id="rId87" /><Relationship Type="http://schemas.openxmlformats.org/officeDocument/2006/relationships/hyperlink" Target="2022/SDRW2200002419.1.1.411.lab" TargetMode="External" Id="rId88" /><Relationship Type="http://schemas.openxmlformats.org/officeDocument/2006/relationships/hyperlink" Target="2022/SDRW2200000836.1.1.61.wav" TargetMode="External" Id="rId89" /><Relationship Type="http://schemas.openxmlformats.org/officeDocument/2006/relationships/hyperlink" Target="2022/SDRW2200000836.1.1.61.TextGrid" TargetMode="External" Id="rId90" /><Relationship Type="http://schemas.openxmlformats.org/officeDocument/2006/relationships/hyperlink" Target="2022/SDRW2200000836.1.1.61.csv" TargetMode="External" Id="rId91" /><Relationship Type="http://schemas.openxmlformats.org/officeDocument/2006/relationships/hyperlink" Target="2022/SDRW2200000836.1.1.61.lab" TargetMode="External" Id="rId92" /><Relationship Type="http://schemas.openxmlformats.org/officeDocument/2006/relationships/hyperlink" Target="2022/SDRW2200000836.1.1.119.wav" TargetMode="External" Id="rId93" /><Relationship Type="http://schemas.openxmlformats.org/officeDocument/2006/relationships/hyperlink" Target="2022/SDRW2200000836.1.1.119.TextGrid" TargetMode="External" Id="rId94" /><Relationship Type="http://schemas.openxmlformats.org/officeDocument/2006/relationships/hyperlink" Target="2022/SDRW2200000836.1.1.119.csv" TargetMode="External" Id="rId95" /><Relationship Type="http://schemas.openxmlformats.org/officeDocument/2006/relationships/hyperlink" Target="2022/SDRW2200000836.1.1.119.lab" TargetMode="External" Id="rId96" /><Relationship Type="http://schemas.openxmlformats.org/officeDocument/2006/relationships/hyperlink" Target="2022/SDRW2200001237.1.1.223.wav" TargetMode="External" Id="rId97" /><Relationship Type="http://schemas.openxmlformats.org/officeDocument/2006/relationships/hyperlink" Target="2022/SDRW2200001237.1.1.223.TextGrid" TargetMode="External" Id="rId98" /><Relationship Type="http://schemas.openxmlformats.org/officeDocument/2006/relationships/hyperlink" Target="2022/SDRW2200001237.1.1.223.csv" TargetMode="External" Id="rId99" /><Relationship Type="http://schemas.openxmlformats.org/officeDocument/2006/relationships/hyperlink" Target="2022/SDRW2200001237.1.1.223.lab" TargetMode="External" Id="rId100" /><Relationship Type="http://schemas.openxmlformats.org/officeDocument/2006/relationships/hyperlink" Target="2022/SDRW2200001237.1.1.105.wav" TargetMode="External" Id="rId101" /><Relationship Type="http://schemas.openxmlformats.org/officeDocument/2006/relationships/hyperlink" Target="2022/SDRW2200001237.1.1.105.TextGrid" TargetMode="External" Id="rId102" /><Relationship Type="http://schemas.openxmlformats.org/officeDocument/2006/relationships/hyperlink" Target="2022/SDRW2200001237.1.1.105.csv" TargetMode="External" Id="rId103" /><Relationship Type="http://schemas.openxmlformats.org/officeDocument/2006/relationships/hyperlink" Target="2022/SDRW2200001237.1.1.105.lab" TargetMode="External" Id="rId104" /><Relationship Type="http://schemas.openxmlformats.org/officeDocument/2006/relationships/hyperlink" Target="2022/SDRW2200001570.1.1.280.wav" TargetMode="External" Id="rId105" /><Relationship Type="http://schemas.openxmlformats.org/officeDocument/2006/relationships/hyperlink" Target="2022/SDRW2200001570.1.1.280.TextGrid" TargetMode="External" Id="rId106" /><Relationship Type="http://schemas.openxmlformats.org/officeDocument/2006/relationships/hyperlink" Target="2022/SDRW2200001570.1.1.280.csv" TargetMode="External" Id="rId107" /><Relationship Type="http://schemas.openxmlformats.org/officeDocument/2006/relationships/hyperlink" Target="2022/SDRW2200001570.1.1.280.lab" TargetMode="External" Id="rId108" /><Relationship Type="http://schemas.openxmlformats.org/officeDocument/2006/relationships/hyperlink" Target="2022/SDRW2200001570.1.1.313.wav" TargetMode="External" Id="rId109" /><Relationship Type="http://schemas.openxmlformats.org/officeDocument/2006/relationships/hyperlink" Target="2022/SDRW2200001570.1.1.313.TextGrid" TargetMode="External" Id="rId110" /><Relationship Type="http://schemas.openxmlformats.org/officeDocument/2006/relationships/hyperlink" Target="2022/SDRW2200001570.1.1.313.csv" TargetMode="External" Id="rId111" /><Relationship Type="http://schemas.openxmlformats.org/officeDocument/2006/relationships/hyperlink" Target="2022/SDRW2200001570.1.1.313.lab" TargetMode="External" Id="rId112" /><Relationship Type="http://schemas.openxmlformats.org/officeDocument/2006/relationships/hyperlink" Target="2022/SDRW2200002341.1.1.85.wav" TargetMode="External" Id="rId113" /><Relationship Type="http://schemas.openxmlformats.org/officeDocument/2006/relationships/hyperlink" Target="2022/SDRW2200002341.1.1.85.TextGrid" TargetMode="External" Id="rId114" /><Relationship Type="http://schemas.openxmlformats.org/officeDocument/2006/relationships/hyperlink" Target="2022/SDRW2200002341.1.1.85.csv" TargetMode="External" Id="rId115" /><Relationship Type="http://schemas.openxmlformats.org/officeDocument/2006/relationships/hyperlink" Target="2022/SDRW2200002341.1.1.85.lab" TargetMode="External" Id="rId116" /><Relationship Type="http://schemas.openxmlformats.org/officeDocument/2006/relationships/hyperlink" Target="2022/SDRW2200002341.1.1.13.wav" TargetMode="External" Id="rId117" /><Relationship Type="http://schemas.openxmlformats.org/officeDocument/2006/relationships/hyperlink" Target="2022/SDRW2200002341.1.1.13.TextGrid" TargetMode="External" Id="rId118" /><Relationship Type="http://schemas.openxmlformats.org/officeDocument/2006/relationships/hyperlink" Target="2022/SDRW2200002341.1.1.13.csv" TargetMode="External" Id="rId119" /><Relationship Type="http://schemas.openxmlformats.org/officeDocument/2006/relationships/hyperlink" Target="2022/SDRW2200002341.1.1.13.lab" TargetMode="External" Id="rId120" /><Relationship Type="http://schemas.openxmlformats.org/officeDocument/2006/relationships/hyperlink" Target="2023/SDRW2300000901.1.1.177.wav" TargetMode="External" Id="rId121" /><Relationship Type="http://schemas.openxmlformats.org/officeDocument/2006/relationships/hyperlink" Target="2023/SDRW2300000901.1.1.177.TextGrid" TargetMode="External" Id="rId122" /><Relationship Type="http://schemas.openxmlformats.org/officeDocument/2006/relationships/hyperlink" Target="2023/SDRW2300000901.1.1.177.csv" TargetMode="External" Id="rId123" /><Relationship Type="http://schemas.openxmlformats.org/officeDocument/2006/relationships/hyperlink" Target="2023/SDRW2300000901.1.1.177.lab" TargetMode="External" Id="rId124" /><Relationship Type="http://schemas.openxmlformats.org/officeDocument/2006/relationships/hyperlink" Target="2023/SDRW2300000901.1.1.346.wav" TargetMode="External" Id="rId125" /><Relationship Type="http://schemas.openxmlformats.org/officeDocument/2006/relationships/hyperlink" Target="2023/SDRW2300000901.1.1.346.TextGrid" TargetMode="External" Id="rId126" /><Relationship Type="http://schemas.openxmlformats.org/officeDocument/2006/relationships/hyperlink" Target="2023/SDRW2300000901.1.1.346.csv" TargetMode="External" Id="rId127" /><Relationship Type="http://schemas.openxmlformats.org/officeDocument/2006/relationships/hyperlink" Target="2023/SDRW2300000901.1.1.346.lab" TargetMode="External" Id="rId128" /><Relationship Type="http://schemas.openxmlformats.org/officeDocument/2006/relationships/hyperlink" Target="2023/SDRW2300001301.1.1.142.wav" TargetMode="External" Id="rId129" /><Relationship Type="http://schemas.openxmlformats.org/officeDocument/2006/relationships/hyperlink" Target="2023/SDRW2300001301.1.1.142.TextGrid" TargetMode="External" Id="rId130" /><Relationship Type="http://schemas.openxmlformats.org/officeDocument/2006/relationships/hyperlink" Target="2023/SDRW2300001301.1.1.142.csv" TargetMode="External" Id="rId131" /><Relationship Type="http://schemas.openxmlformats.org/officeDocument/2006/relationships/hyperlink" Target="2023/SDRW2300001301.1.1.142.lab" TargetMode="External" Id="rId132" /><Relationship Type="http://schemas.openxmlformats.org/officeDocument/2006/relationships/hyperlink" Target="2023/SDRW2300001301.1.1.176.wav" TargetMode="External" Id="rId133" /><Relationship Type="http://schemas.openxmlformats.org/officeDocument/2006/relationships/hyperlink" Target="2023/SDRW2300001301.1.1.176.TextGrid" TargetMode="External" Id="rId134" /><Relationship Type="http://schemas.openxmlformats.org/officeDocument/2006/relationships/hyperlink" Target="2023/SDRW2300001301.1.1.176.csv" TargetMode="External" Id="rId135" /><Relationship Type="http://schemas.openxmlformats.org/officeDocument/2006/relationships/hyperlink" Target="2023/SDRW2300001301.1.1.176.lab" TargetMode="External" Id="rId136" /><Relationship Type="http://schemas.openxmlformats.org/officeDocument/2006/relationships/hyperlink" Target="2023/SDRW2300001859.1.1.109.wav" TargetMode="External" Id="rId137" /><Relationship Type="http://schemas.openxmlformats.org/officeDocument/2006/relationships/hyperlink" Target="2023/SDRW2300001859.1.1.109.TextGrid" TargetMode="External" Id="rId138" /><Relationship Type="http://schemas.openxmlformats.org/officeDocument/2006/relationships/hyperlink" Target="2023/SDRW2300001859.1.1.109.csv" TargetMode="External" Id="rId139" /><Relationship Type="http://schemas.openxmlformats.org/officeDocument/2006/relationships/hyperlink" Target="2023/SDRW2300001859.1.1.109.lab" TargetMode="External" Id="rId140" /><Relationship Type="http://schemas.openxmlformats.org/officeDocument/2006/relationships/hyperlink" Target="2023/SDRW2300001859.1.1.108.wav" TargetMode="External" Id="rId141" /><Relationship Type="http://schemas.openxmlformats.org/officeDocument/2006/relationships/hyperlink" Target="2023/SDRW2300001859.1.1.108.TextGrid" TargetMode="External" Id="rId142" /><Relationship Type="http://schemas.openxmlformats.org/officeDocument/2006/relationships/hyperlink" Target="2023/SDRW2300001859.1.1.108.csv" TargetMode="External" Id="rId143" /><Relationship Type="http://schemas.openxmlformats.org/officeDocument/2006/relationships/hyperlink" Target="2023/SDRW2300001859.1.1.108.lab" TargetMode="External" Id="rId144" /><Relationship Type="http://schemas.openxmlformats.org/officeDocument/2006/relationships/hyperlink" Target="2023/SDRW2300001955.1.1.164.wav" TargetMode="External" Id="rId145" /><Relationship Type="http://schemas.openxmlformats.org/officeDocument/2006/relationships/hyperlink" Target="2023/SDRW2300001955.1.1.164.TextGrid" TargetMode="External" Id="rId146" /><Relationship Type="http://schemas.openxmlformats.org/officeDocument/2006/relationships/hyperlink" Target="2023/SDRW2300001955.1.1.164.csv" TargetMode="External" Id="rId147" /><Relationship Type="http://schemas.openxmlformats.org/officeDocument/2006/relationships/hyperlink" Target="2023/SDRW2300001955.1.1.164.lab" TargetMode="External" Id="rId148" /><Relationship Type="http://schemas.openxmlformats.org/officeDocument/2006/relationships/hyperlink" Target="2023/SDRW2300001955.1.1.11.wav" TargetMode="External" Id="rId149" /><Relationship Type="http://schemas.openxmlformats.org/officeDocument/2006/relationships/hyperlink" Target="2023/SDRW2300001955.1.1.11.TextGrid" TargetMode="External" Id="rId150" /><Relationship Type="http://schemas.openxmlformats.org/officeDocument/2006/relationships/hyperlink" Target="2023/SDRW2300001955.1.1.11.csv" TargetMode="External" Id="rId151" /><Relationship Type="http://schemas.openxmlformats.org/officeDocument/2006/relationships/hyperlink" Target="2023/SDRW2300001955.1.1.11.lab" TargetMode="External" Id="rId152" /><Relationship Type="http://schemas.openxmlformats.org/officeDocument/2006/relationships/hyperlink" Target="2023/SDRW2300000891.1.1.331.wav" TargetMode="External" Id="rId153" /><Relationship Type="http://schemas.openxmlformats.org/officeDocument/2006/relationships/hyperlink" Target="2023/SDRW2300000891.1.1.331.TextGrid" TargetMode="External" Id="rId154" /><Relationship Type="http://schemas.openxmlformats.org/officeDocument/2006/relationships/hyperlink" Target="2023/SDRW2300000891.1.1.331.csv" TargetMode="External" Id="rId155" /><Relationship Type="http://schemas.openxmlformats.org/officeDocument/2006/relationships/hyperlink" Target="2023/SDRW2300000891.1.1.331.lab" TargetMode="External" Id="rId156" /><Relationship Type="http://schemas.openxmlformats.org/officeDocument/2006/relationships/hyperlink" Target="2023/SDRW2300000891.1.1.229.wav" TargetMode="External" Id="rId157" /><Relationship Type="http://schemas.openxmlformats.org/officeDocument/2006/relationships/hyperlink" Target="2023/SDRW2300000891.1.1.229.TextGrid" TargetMode="External" Id="rId158" /><Relationship Type="http://schemas.openxmlformats.org/officeDocument/2006/relationships/hyperlink" Target="2023/SDRW2300000891.1.1.229.csv" TargetMode="External" Id="rId159" /><Relationship Type="http://schemas.openxmlformats.org/officeDocument/2006/relationships/hyperlink" Target="2023/SDRW2300000891.1.1.229.lab" TargetMode="External" Id="rId160" /><Relationship Type="http://schemas.openxmlformats.org/officeDocument/2006/relationships/hyperlink" Target="2024/SDRW2400001098.1.1.64.wav" TargetMode="External" Id="rId161" /><Relationship Type="http://schemas.openxmlformats.org/officeDocument/2006/relationships/hyperlink" Target="2024/SDRW2400001098.1.1.64.TextGrid" TargetMode="External" Id="rId162" /><Relationship Type="http://schemas.openxmlformats.org/officeDocument/2006/relationships/hyperlink" Target="2024/SDRW2400001098.1.1.64.csv" TargetMode="External" Id="rId163" /><Relationship Type="http://schemas.openxmlformats.org/officeDocument/2006/relationships/hyperlink" Target="2024/SDRW2400001098.1.1.64.lab" TargetMode="External" Id="rId164" /><Relationship Type="http://schemas.openxmlformats.org/officeDocument/2006/relationships/hyperlink" Target="2024/SDRW2400001098.1.1.92.wav" TargetMode="External" Id="rId165" /><Relationship Type="http://schemas.openxmlformats.org/officeDocument/2006/relationships/hyperlink" Target="2024/SDRW2400001098.1.1.92.TextGrid" TargetMode="External" Id="rId166" /><Relationship Type="http://schemas.openxmlformats.org/officeDocument/2006/relationships/hyperlink" Target="2024/SDRW2400001098.1.1.92.csv" TargetMode="External" Id="rId167" /><Relationship Type="http://schemas.openxmlformats.org/officeDocument/2006/relationships/hyperlink" Target="2024/SDRW2400001098.1.1.92.lab" TargetMode="External" Id="rId168" /><Relationship Type="http://schemas.openxmlformats.org/officeDocument/2006/relationships/hyperlink" Target="2024/SDRW2400000324.1.1.170.wav" TargetMode="External" Id="rId169" /><Relationship Type="http://schemas.openxmlformats.org/officeDocument/2006/relationships/hyperlink" Target="2024/SDRW2400000324.1.1.170.TextGrid" TargetMode="External" Id="rId170" /><Relationship Type="http://schemas.openxmlformats.org/officeDocument/2006/relationships/hyperlink" Target="2024/SDRW2400000324.1.1.170.csv" TargetMode="External" Id="rId171" /><Relationship Type="http://schemas.openxmlformats.org/officeDocument/2006/relationships/hyperlink" Target="2024/SDRW2400000324.1.1.170.lab" TargetMode="External" Id="rId172" /><Relationship Type="http://schemas.openxmlformats.org/officeDocument/2006/relationships/hyperlink" Target="2024/SDRW2400000324.1.1.30.wav" TargetMode="External" Id="rId173" /><Relationship Type="http://schemas.openxmlformats.org/officeDocument/2006/relationships/hyperlink" Target="2024/SDRW2400000324.1.1.30.TextGrid" TargetMode="External" Id="rId174" /><Relationship Type="http://schemas.openxmlformats.org/officeDocument/2006/relationships/hyperlink" Target="2024/SDRW2400000324.1.1.30.csv" TargetMode="External" Id="rId175" /><Relationship Type="http://schemas.openxmlformats.org/officeDocument/2006/relationships/hyperlink" Target="2024/SDRW2400000324.1.1.30.lab" TargetMode="External" Id="rId176" /><Relationship Type="http://schemas.openxmlformats.org/officeDocument/2006/relationships/hyperlink" Target="2024/SDRW2400001368.1.1.121.wav" TargetMode="External" Id="rId177" /><Relationship Type="http://schemas.openxmlformats.org/officeDocument/2006/relationships/hyperlink" Target="2024/SDRW2400001368.1.1.121.TextGrid" TargetMode="External" Id="rId178" /><Relationship Type="http://schemas.openxmlformats.org/officeDocument/2006/relationships/hyperlink" Target="2024/SDRW2400001368.1.1.121.csv" TargetMode="External" Id="rId179" /><Relationship Type="http://schemas.openxmlformats.org/officeDocument/2006/relationships/hyperlink" Target="2024/SDRW2400001368.1.1.121.lab" TargetMode="External" Id="rId180" /><Relationship Type="http://schemas.openxmlformats.org/officeDocument/2006/relationships/hyperlink" Target="2024/SDRW2400001368.1.1.105.wav" TargetMode="External" Id="rId181" /><Relationship Type="http://schemas.openxmlformats.org/officeDocument/2006/relationships/hyperlink" Target="2024/SDRW2400001368.1.1.105.TextGrid" TargetMode="External" Id="rId182" /><Relationship Type="http://schemas.openxmlformats.org/officeDocument/2006/relationships/hyperlink" Target="2024/SDRW2400001368.1.1.105.csv" TargetMode="External" Id="rId183" /><Relationship Type="http://schemas.openxmlformats.org/officeDocument/2006/relationships/hyperlink" Target="2024/SDRW2400001368.1.1.105.lab" TargetMode="External" Id="rId184" /><Relationship Type="http://schemas.openxmlformats.org/officeDocument/2006/relationships/hyperlink" Target="2024/SDRW2400001439.1.1.152.wav" TargetMode="External" Id="rId185" /><Relationship Type="http://schemas.openxmlformats.org/officeDocument/2006/relationships/hyperlink" Target="2024/SDRW2400001439.1.1.152.TextGrid" TargetMode="External" Id="rId186" /><Relationship Type="http://schemas.openxmlformats.org/officeDocument/2006/relationships/hyperlink" Target="2024/SDRW2400001439.1.1.152.csv" TargetMode="External" Id="rId187" /><Relationship Type="http://schemas.openxmlformats.org/officeDocument/2006/relationships/hyperlink" Target="2024/SDRW2400001439.1.1.152.lab" TargetMode="External" Id="rId188" /><Relationship Type="http://schemas.openxmlformats.org/officeDocument/2006/relationships/hyperlink" Target="2024/SDRW2400001439.1.1.121.wav" TargetMode="External" Id="rId189" /><Relationship Type="http://schemas.openxmlformats.org/officeDocument/2006/relationships/hyperlink" Target="2024/SDRW2400001439.1.1.121.TextGrid" TargetMode="External" Id="rId190" /><Relationship Type="http://schemas.openxmlformats.org/officeDocument/2006/relationships/hyperlink" Target="2024/SDRW2400001439.1.1.121.csv" TargetMode="External" Id="rId191" /><Relationship Type="http://schemas.openxmlformats.org/officeDocument/2006/relationships/hyperlink" Target="2024/SDRW2400001439.1.1.121.lab" TargetMode="External" Id="rId192" /><Relationship Type="http://schemas.openxmlformats.org/officeDocument/2006/relationships/hyperlink" Target="2024/SDRW2400001727.1.1.188.wav" TargetMode="External" Id="rId193" /><Relationship Type="http://schemas.openxmlformats.org/officeDocument/2006/relationships/hyperlink" Target="2024/SDRW2400001727.1.1.188.TextGrid" TargetMode="External" Id="rId194" /><Relationship Type="http://schemas.openxmlformats.org/officeDocument/2006/relationships/hyperlink" Target="2024/SDRW2400001727.1.1.188.csv" TargetMode="External" Id="rId195" /><Relationship Type="http://schemas.openxmlformats.org/officeDocument/2006/relationships/hyperlink" Target="2024/SDRW2400001727.1.1.188.lab" TargetMode="External" Id="rId196" /><Relationship Type="http://schemas.openxmlformats.org/officeDocument/2006/relationships/hyperlink" Target="2024/SDRW2400001727.1.1.4.wav" TargetMode="External" Id="rId197" /><Relationship Type="http://schemas.openxmlformats.org/officeDocument/2006/relationships/hyperlink" Target="2024/SDRW2400001727.1.1.4.TextGrid" TargetMode="External" Id="rId198" /><Relationship Type="http://schemas.openxmlformats.org/officeDocument/2006/relationships/hyperlink" Target="2024/SDRW2400001727.1.1.4.csv" TargetMode="External" Id="rId199" /><Relationship Type="http://schemas.openxmlformats.org/officeDocument/2006/relationships/hyperlink" Target="2024/SDRW2400001727.1.1.4.lab" TargetMode="External" Id="rId200" /><Relationship Type="http://schemas.openxmlformats.org/officeDocument/2006/relationships/hyperlink" Target="2025/SDRW2500000335.1.1.238.wav" TargetMode="External" Id="rId201" /><Relationship Type="http://schemas.openxmlformats.org/officeDocument/2006/relationships/hyperlink" Target="2025/SDRW2500000335.1.1.238.TextGrid" TargetMode="External" Id="rId202" /><Relationship Type="http://schemas.openxmlformats.org/officeDocument/2006/relationships/hyperlink" Target="2025/SDRW2500000335.1.1.238.csv" TargetMode="External" Id="rId203" /><Relationship Type="http://schemas.openxmlformats.org/officeDocument/2006/relationships/hyperlink" Target="2025/SDRW2500000335.1.1.238.lab" TargetMode="External" Id="rId204" /><Relationship Type="http://schemas.openxmlformats.org/officeDocument/2006/relationships/hyperlink" Target="2025/SDRW2500000335.1.1.45.wav" TargetMode="External" Id="rId205" /><Relationship Type="http://schemas.openxmlformats.org/officeDocument/2006/relationships/hyperlink" Target="2025/SDRW2500000335.1.1.45.TextGrid" TargetMode="External" Id="rId206" /><Relationship Type="http://schemas.openxmlformats.org/officeDocument/2006/relationships/hyperlink" Target="2025/SDRW2500000335.1.1.45.csv" TargetMode="External" Id="rId207" /><Relationship Type="http://schemas.openxmlformats.org/officeDocument/2006/relationships/hyperlink" Target="2025/SDRW2500000335.1.1.45.lab" TargetMode="External" Id="rId208" /><Relationship Type="http://schemas.openxmlformats.org/officeDocument/2006/relationships/hyperlink" Target="2025/SDRW2500000968.1.1.140.wav" TargetMode="External" Id="rId209" /><Relationship Type="http://schemas.openxmlformats.org/officeDocument/2006/relationships/hyperlink" Target="2025/SDRW2500000968.1.1.140.TextGrid" TargetMode="External" Id="rId210" /><Relationship Type="http://schemas.openxmlformats.org/officeDocument/2006/relationships/hyperlink" Target="2025/SDRW2500000968.1.1.140.csv" TargetMode="External" Id="rId211" /><Relationship Type="http://schemas.openxmlformats.org/officeDocument/2006/relationships/hyperlink" Target="2025/SDRW2500000968.1.1.140.lab" TargetMode="External" Id="rId212" /><Relationship Type="http://schemas.openxmlformats.org/officeDocument/2006/relationships/hyperlink" Target="2025/SDRW2500000968.1.1.203.wav" TargetMode="External" Id="rId213" /><Relationship Type="http://schemas.openxmlformats.org/officeDocument/2006/relationships/hyperlink" Target="2025/SDRW2500000968.1.1.203.TextGrid" TargetMode="External" Id="rId214" /><Relationship Type="http://schemas.openxmlformats.org/officeDocument/2006/relationships/hyperlink" Target="2025/SDRW2500000968.1.1.203.csv" TargetMode="External" Id="rId215" /><Relationship Type="http://schemas.openxmlformats.org/officeDocument/2006/relationships/hyperlink" Target="2025/SDRW2500000968.1.1.203.lab" TargetMode="External" Id="rId216" /><Relationship Type="http://schemas.openxmlformats.org/officeDocument/2006/relationships/hyperlink" Target="2025/SDRW2500002056.1.1.109.wav" TargetMode="External" Id="rId217" /><Relationship Type="http://schemas.openxmlformats.org/officeDocument/2006/relationships/hyperlink" Target="2025/SDRW2500002056.1.1.109.TextGrid" TargetMode="External" Id="rId218" /><Relationship Type="http://schemas.openxmlformats.org/officeDocument/2006/relationships/hyperlink" Target="2025/SDRW2500002056.1.1.109.csv" TargetMode="External" Id="rId219" /><Relationship Type="http://schemas.openxmlformats.org/officeDocument/2006/relationships/hyperlink" Target="2025/SDRW2500002056.1.1.109.lab" TargetMode="External" Id="rId220" /><Relationship Type="http://schemas.openxmlformats.org/officeDocument/2006/relationships/hyperlink" Target="2025/SDRW2500002056.1.1.60.wav" TargetMode="External" Id="rId221" /><Relationship Type="http://schemas.openxmlformats.org/officeDocument/2006/relationships/hyperlink" Target="2025/SDRW2500002056.1.1.60.TextGrid" TargetMode="External" Id="rId222" /><Relationship Type="http://schemas.openxmlformats.org/officeDocument/2006/relationships/hyperlink" Target="2025/SDRW2500002056.1.1.60.csv" TargetMode="External" Id="rId223" /><Relationship Type="http://schemas.openxmlformats.org/officeDocument/2006/relationships/hyperlink" Target="2025/SDRW2500002056.1.1.60.lab" TargetMode="External" Id="rId224" /><Relationship Type="http://schemas.openxmlformats.org/officeDocument/2006/relationships/hyperlink" Target="2025/SDRW2500002364.1.1.1.wav" TargetMode="External" Id="rId225" /><Relationship Type="http://schemas.openxmlformats.org/officeDocument/2006/relationships/hyperlink" Target="2025/SDRW2500002364.1.1.1.TextGrid" TargetMode="External" Id="rId226" /><Relationship Type="http://schemas.openxmlformats.org/officeDocument/2006/relationships/hyperlink" Target="2025/SDRW2500002364.1.1.1.csv" TargetMode="External" Id="rId227" /><Relationship Type="http://schemas.openxmlformats.org/officeDocument/2006/relationships/hyperlink" Target="2025/SDRW2500002364.1.1.1.lab" TargetMode="External" Id="rId228" /><Relationship Type="http://schemas.openxmlformats.org/officeDocument/2006/relationships/hyperlink" Target="2025/SDRW2500002364.1.1.89.wav" TargetMode="External" Id="rId229" /><Relationship Type="http://schemas.openxmlformats.org/officeDocument/2006/relationships/hyperlink" Target="2025/SDRW2500002364.1.1.89.TextGrid" TargetMode="External" Id="rId230" /><Relationship Type="http://schemas.openxmlformats.org/officeDocument/2006/relationships/hyperlink" Target="2025/SDRW2500002364.1.1.89.csv" TargetMode="External" Id="rId231" /><Relationship Type="http://schemas.openxmlformats.org/officeDocument/2006/relationships/hyperlink" Target="2025/SDRW2500002364.1.1.89.lab" TargetMode="External" Id="rId232" /><Relationship Type="http://schemas.openxmlformats.org/officeDocument/2006/relationships/hyperlink" Target="2025/SARW2500000286.1.1.57.wav" TargetMode="External" Id="rId233" /><Relationship Type="http://schemas.openxmlformats.org/officeDocument/2006/relationships/hyperlink" Target="2025/SARW2500000286.1.1.57.TextGrid" TargetMode="External" Id="rId234" /><Relationship Type="http://schemas.openxmlformats.org/officeDocument/2006/relationships/hyperlink" Target="2025/SARW2500000286.1.1.57.csv" TargetMode="External" Id="rId235" /><Relationship Type="http://schemas.openxmlformats.org/officeDocument/2006/relationships/hyperlink" Target="2025/SARW2500000286.1.1.57.lab" TargetMode="External" Id="rId236" /><Relationship Type="http://schemas.openxmlformats.org/officeDocument/2006/relationships/hyperlink" Target="2025/SARW2500000286.1.1.21.wav" TargetMode="External" Id="rId237" /><Relationship Type="http://schemas.openxmlformats.org/officeDocument/2006/relationships/hyperlink" Target="2025/SARW2500000286.1.1.21.TextGrid" TargetMode="External" Id="rId238" /><Relationship Type="http://schemas.openxmlformats.org/officeDocument/2006/relationships/hyperlink" Target="2025/SARW2500000286.1.1.21.csv" TargetMode="External" Id="rId239" /><Relationship Type="http://schemas.openxmlformats.org/officeDocument/2006/relationships/hyperlink" Target="2025/SARW2500000286.1.1.21.lab" TargetMode="External" Id="rId240" /><Relationship Type="http://schemas.openxmlformats.org/officeDocument/2006/relationships/table" Target="/xl/tables/table2.xml" Id="rId24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tabColor rgb="005B9BD5"/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5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MFA 파일럿 연구자 검토표</t>
        </is>
      </c>
      <c r="B2" s="3" t="inlineStr">
        <is>
          <t>2020–2025년, 연도별 10개, 총 60개</t>
        </is>
      </c>
    </row>
    <row r="3">
      <c r="A3" s="2" t="inlineStr">
        <is>
          <t>목적</t>
        </is>
      </c>
      <c r="B3" s="3" t="inlineStr">
        <is>
          <t>대량 MFA 전에 음성·전사·TextGrid·형태소·발음 참조·화자 연결을 사람이 확인하고 기록</t>
        </is>
      </c>
    </row>
    <row r="4">
      <c r="A4" s="2" t="inlineStr">
        <is>
          <t>사용 순서</t>
        </is>
      </c>
      <c r="B4" s="3" t="inlineStr">
        <is>
          <t>검토입력 시트에서 WAV와 TextGrid를 열고 노란 입력 열을 드롭다운으로 판정</t>
        </is>
      </c>
    </row>
    <row r="5">
      <c r="A5" s="2" t="inlineStr">
        <is>
          <t>파일 링크</t>
        </is>
      </c>
      <c r="B5" s="3" t="inlineStr">
        <is>
          <t>이 워크북을 7_review_by_year_20260725 폴더 안에서 열어야 상대경로 링크가 작동</t>
        </is>
      </c>
    </row>
    <row r="6">
      <c r="A6" s="2" t="inlineStr">
        <is>
          <t>판정 기준</t>
        </is>
      </c>
      <c r="B6" s="3" t="inlineStr">
        <is>
          <t>양호/일치 = 그대로 사용 가능, 수정 필요/불일치 = 대량 작업 전에 원인 분류 필요</t>
        </is>
      </c>
    </row>
    <row r="7">
      <c r="A7" s="2" t="inlineStr">
        <is>
          <t>판단 불가</t>
        </is>
      </c>
      <c r="B7" s="3" t="inlineStr">
        <is>
          <t>현재 자료만으로 판정할 수 없을 때 사용하며 비고에 이유 기록</t>
        </is>
      </c>
    </row>
    <row r="8">
      <c r="A8" s="2" t="inlineStr">
        <is>
          <t>공동 참여자</t>
        </is>
      </c>
      <c r="B8" s="3" t="inlineStr">
        <is>
          <t>co_speaker_ids는 같은 대화 문서의 다른 참여자이며 직접 수신자(addressee) 표지가 아님</t>
        </is>
      </c>
    </row>
    <row r="9">
      <c r="A9" s="2" t="inlineStr">
        <is>
          <t>발음 참조</t>
        </is>
      </c>
      <c r="B9" s="3" t="inlineStr">
        <is>
          <t>pron_reference는 철자·규칙 기반 검색 보조 정보이며 사전 발음 또는 실제 음성 실현 판정값이 아님</t>
        </is>
      </c>
    </row>
    <row r="10">
      <c r="A10" s="2" t="inlineStr">
        <is>
          <t>원본 보존</t>
        </is>
      </c>
      <c r="B10" s="3" t="inlineStr">
        <is>
          <t>원본인덱스 시트는 INDEX_ALL.csv의 값이며 검토 결과와 분리</t>
        </is>
      </c>
    </row>
    <row r="11">
      <c r="A11" s="2" t="inlineStr">
        <is>
          <t>자동 집계</t>
        </is>
      </c>
      <c r="B11" s="3" t="inlineStr">
        <is>
          <t>진행요약은 검토입력 시트의 판정값을 수식으로 집계하며 Excel에서 열 때 재계산</t>
        </is>
      </c>
    </row>
    <row r="12">
      <c r="A12" s="2" t="inlineStr">
        <is>
          <t>우선 사례 1</t>
        </is>
      </c>
      <c r="B12" s="3" t="inlineStr">
        <is>
          <t>SDRW2300001955.1.1.164 — 파일 찾기와 음성·전사 일치 확인</t>
        </is>
      </c>
    </row>
    <row r="13">
      <c r="A13" s="2" t="inlineStr">
        <is>
          <t>우선 사례 2</t>
        </is>
      </c>
      <c r="B13" s="3" t="inlineStr">
        <is>
          <t>SDRW2300000891.1.1.331 — 1/일 발음 참조 및 화자·공동 참여자 확인</t>
        </is>
      </c>
    </row>
    <row r="14">
      <c r="A14" s="2" t="inlineStr">
        <is>
          <t>원본 INDEX</t>
        </is>
      </c>
      <c r="B14" s="3" t="inlineStr">
        <is>
          <t>C:\Users\ari30\Dropbox\000_2026_summer_research\work\pilot_review_v2_20260724\7_review_by_year_20260725\INDEX_ALL.csv</t>
        </is>
      </c>
    </row>
    <row r="15">
      <c r="A15" s="2" t="inlineStr">
        <is>
          <t>bundle root</t>
        </is>
      </c>
      <c r="B15" s="3" t="inlineStr">
        <is>
          <t>C:\Users\ari30\Dropbox\000_2026_summer_research\work\pilot_review_v2_20260724\7_review_by_year_20260725</t>
        </is>
      </c>
    </row>
    <row r="16">
      <c r="A16" s="2" t="inlineStr">
        <is>
          <t>생성 시각</t>
        </is>
      </c>
      <c r="B16" s="3" t="inlineStr">
        <is>
          <t>2026-07-25T11:04:05+09:00</t>
        </is>
      </c>
    </row>
    <row r="17">
      <c r="A17" s="2" t="inlineStr">
        <is>
          <t>원본 발화 수</t>
        </is>
      </c>
      <c r="B17" s="3" t="n">
        <v>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AG61"/>
  <sheetViews>
    <sheetView showGridLines="0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9" customWidth="1" min="3" max="3"/>
    <col width="31" customWidth="1" min="4" max="4"/>
    <col width="15" customWidth="1" min="5" max="5"/>
    <col width="20" customWidth="1" min="6" max="6"/>
    <col width="34" customWidth="1" min="7" max="7"/>
    <col width="34" customWidth="1" min="8" max="8"/>
    <col width="34" customWidth="1" min="9" max="9"/>
    <col width="15" customWidth="1" min="10" max="10"/>
    <col width="15" customWidth="1" min="11" max="11"/>
    <col width="15" customWidth="1" min="12" max="12"/>
    <col width="15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42" customWidth="1" min="23" max="23"/>
    <col width="14" customWidth="1" min="24" max="24"/>
    <col width="13" customWidth="1" min="25" max="25"/>
    <col width="13" customWidth="1" min="26" max="26"/>
    <col hidden="1" width="26" customWidth="1" min="27" max="27"/>
    <col hidden="1" width="26" customWidth="1" min="28" max="28"/>
    <col hidden="1" width="26" customWidth="1" min="29" max="29"/>
    <col hidden="1" width="26" customWidth="1" min="30" max="30"/>
    <col hidden="1" width="26" customWidth="1" min="31" max="31"/>
    <col hidden="1" width="26" customWidth="1" min="32" max="32"/>
    <col hidden="1" width="12" customWidth="1" min="33" max="33"/>
  </cols>
  <sheetData>
    <row r="1" ht="38" customHeight="1">
      <c r="A1" s="1" t="inlineStr">
        <is>
          <t>번호</t>
        </is>
      </c>
      <c r="B1" s="1" t="inlineStr">
        <is>
          <t>우선 확인</t>
        </is>
      </c>
      <c r="C1" s="1" t="inlineStr">
        <is>
          <t>연도</t>
        </is>
      </c>
      <c r="D1" s="1" t="inlineStr">
        <is>
          <t>발화 ID</t>
        </is>
      </c>
      <c r="E1" s="1" t="inlineStr">
        <is>
          <t>화자 ID</t>
        </is>
      </c>
      <c r="F1" s="1" t="inlineStr">
        <is>
          <t>공동 참여자 ID</t>
        </is>
      </c>
      <c r="G1" s="1" t="inlineStr">
        <is>
          <t>정규형</t>
        </is>
      </c>
      <c r="H1" s="1" t="inlineStr">
        <is>
          <t>원문</t>
        </is>
      </c>
      <c r="I1" s="1" t="inlineStr">
        <is>
          <t>발음 참조</t>
        </is>
      </c>
      <c r="J1" s="1" t="inlineStr">
        <is>
          <t>WAV</t>
        </is>
      </c>
      <c r="K1" s="1" t="inlineStr">
        <is>
          <t>TextGrid</t>
        </is>
      </c>
      <c r="L1" s="1" t="inlineStr">
        <is>
          <t>CSV</t>
        </is>
      </c>
      <c r="M1" s="1" t="inlineStr">
        <is>
          <t>LAB</t>
        </is>
      </c>
      <c r="N1" s="1" t="inlineStr">
        <is>
          <t>음성-문장 일치</t>
        </is>
      </c>
      <c r="O1" s="1" t="inlineStr">
        <is>
          <t>words 정렬</t>
        </is>
      </c>
      <c r="P1" s="1" t="inlineStr">
        <is>
          <t>phones 정렬</t>
        </is>
      </c>
      <c r="Q1" s="1" t="inlineStr">
        <is>
          <t>morphemes 정렬</t>
        </is>
      </c>
      <c r="R1" s="1" t="inlineStr">
        <is>
          <t>처음·끝 경계</t>
        </is>
      </c>
      <c r="S1" s="1" t="inlineStr">
        <is>
          <t>original/pron 표시</t>
        </is>
      </c>
      <c r="T1" s="1" t="inlineStr">
        <is>
          <t>화자·참여자 ID</t>
        </is>
      </c>
      <c r="U1" s="1" t="inlineStr">
        <is>
          <t>종합 판정</t>
        </is>
      </c>
      <c r="V1" s="1" t="inlineStr">
        <is>
          <t>재검토</t>
        </is>
      </c>
      <c r="W1" s="1" t="inlineStr">
        <is>
          <t>비고</t>
        </is>
      </c>
      <c r="X1" s="1" t="inlineStr">
        <is>
          <t>검토자</t>
        </is>
      </c>
      <c r="Y1" s="1" t="inlineStr">
        <is>
          <t>검토일</t>
        </is>
      </c>
      <c r="Z1" s="1" t="inlineStr">
        <is>
          <t>검토 완료</t>
        </is>
      </c>
      <c r="AA1" s="1" t="inlineStr">
        <is>
          <t>대화 ID</t>
        </is>
      </c>
      <c r="AB1" s="1" t="inlineStr">
        <is>
          <t>전체 화자 ID</t>
        </is>
      </c>
      <c r="AC1" s="1" t="inlineStr">
        <is>
          <t>발음 근거</t>
        </is>
      </c>
      <c r="AD1" s="1" t="inlineStr">
        <is>
          <t>자동 tier 경고</t>
        </is>
      </c>
      <c r="AE1" s="1" t="inlineStr">
        <is>
          <t>original 정렬 상태</t>
        </is>
      </c>
      <c r="AF1" s="1" t="inlineStr">
        <is>
          <t>발음 tier 정렬 상태</t>
        </is>
      </c>
      <c r="AG1" s="1" t="inlineStr">
        <is>
          <t>원본 행 번호</t>
        </is>
      </c>
    </row>
    <row r="2" ht="43" customHeight="1">
      <c r="A2" s="4" t="n">
        <v>1</v>
      </c>
      <c r="B2" s="3" t="inlineStr"/>
      <c r="C2" s="3" t="n">
        <v>2020</v>
      </c>
      <c r="D2" s="3" t="inlineStr">
        <is>
          <t>SDRW2000000762.1.1.178</t>
        </is>
      </c>
      <c r="E2" s="3" t="inlineStr">
        <is>
          <t>SD2001178</t>
        </is>
      </c>
      <c r="F2" s="3" t="inlineStr">
        <is>
          <t>SD2001179</t>
        </is>
      </c>
      <c r="G2" s="3" t="inlineStr">
        <is>
          <t>근데 그 행위 자체가</t>
        </is>
      </c>
      <c r="H2" s="3" t="inlineStr">
        <is>
          <t>근데 그 행위 자체가</t>
        </is>
      </c>
      <c r="I2" s="3" t="inlineStr">
        <is>
          <t>근데 그 행위 자체가</t>
        </is>
      </c>
      <c r="J2" s="5" t="inlineStr">
        <is>
          <t>WAV 열기</t>
        </is>
      </c>
      <c r="K2" s="5" t="inlineStr">
        <is>
          <t>TextGrid 열기</t>
        </is>
      </c>
      <c r="L2" s="5" t="inlineStr">
        <is>
          <t>CSV 열기</t>
        </is>
      </c>
      <c r="M2" s="5" t="inlineStr">
        <is>
          <t>LAB 열기</t>
        </is>
      </c>
      <c r="N2" s="6" t="inlineStr"/>
      <c r="O2" s="6" t="inlineStr"/>
      <c r="P2" s="6" t="inlineStr"/>
      <c r="Q2" s="6" t="inlineStr"/>
      <c r="R2" s="6" t="inlineStr"/>
      <c r="S2" s="6" t="inlineStr"/>
      <c r="T2" s="6" t="inlineStr"/>
      <c r="U2" s="6" t="inlineStr"/>
      <c r="V2" s="6" t="inlineStr"/>
      <c r="W2" s="7" t="inlineStr"/>
      <c r="X2" s="6" t="inlineStr"/>
      <c r="Y2" s="8" t="n"/>
      <c r="Z2" s="9">
        <f>IF(COUNTA(N2:U2)=8,"완료","미완료")</f>
        <v/>
      </c>
      <c r="AA2" s="4" t="inlineStr">
        <is>
          <t>SDRW2000000762.1</t>
        </is>
      </c>
      <c r="AB2" s="4" t="inlineStr">
        <is>
          <t>SD2001178 | SD2001179</t>
        </is>
      </c>
      <c r="AC2" s="4" t="inlineStr">
        <is>
          <t>form_rule_prediction</t>
        </is>
      </c>
      <c r="AD2" s="4" t="inlineStr"/>
      <c r="AE2" s="4" t="inlineStr">
        <is>
          <t>all_lexical_slots</t>
        </is>
      </c>
      <c r="AF2" s="4" t="inlineStr">
        <is>
          <t>all_lexical_slots</t>
        </is>
      </c>
      <c r="AG2" s="4" t="n">
        <v>2</v>
      </c>
    </row>
    <row r="3" ht="43" customHeight="1">
      <c r="A3" s="4" t="n">
        <v>2</v>
      </c>
      <c r="B3" s="3" t="inlineStr"/>
      <c r="C3" s="3" t="n">
        <v>2020</v>
      </c>
      <c r="D3" s="3" t="inlineStr">
        <is>
          <t>SDRW2000000762.1.1.193</t>
        </is>
      </c>
      <c r="E3" s="3" t="inlineStr">
        <is>
          <t>SD2001178</t>
        </is>
      </c>
      <c r="F3" s="3" t="inlineStr">
        <is>
          <t>SD2001179</t>
        </is>
      </c>
      <c r="G3" s="3" t="inlineStr">
        <is>
          <t>임차인이 임차를 하고 있 있는 와중에도</t>
        </is>
      </c>
      <c r="H3" s="3" t="inlineStr">
        <is>
          <t>임차인이 임차를 하고 -있- 있는 와중에도</t>
        </is>
      </c>
      <c r="I3" s="3" t="inlineStr">
        <is>
          <t>임차이니 임차를 하고 읻 인는 와중에도</t>
        </is>
      </c>
      <c r="J3" s="5" t="inlineStr">
        <is>
          <t>WAV 열기</t>
        </is>
      </c>
      <c r="K3" s="5" t="inlineStr">
        <is>
          <t>TextGrid 열기</t>
        </is>
      </c>
      <c r="L3" s="5" t="inlineStr">
        <is>
          <t>CSV 열기</t>
        </is>
      </c>
      <c r="M3" s="5" t="inlineStr">
        <is>
          <t>LAB 열기</t>
        </is>
      </c>
      <c r="N3" s="6" t="inlineStr"/>
      <c r="O3" s="6" t="inlineStr"/>
      <c r="P3" s="6" t="inlineStr"/>
      <c r="Q3" s="6" t="inlineStr"/>
      <c r="R3" s="6" t="inlineStr"/>
      <c r="S3" s="6" t="inlineStr"/>
      <c r="T3" s="6" t="inlineStr"/>
      <c r="U3" s="6" t="inlineStr"/>
      <c r="V3" s="6" t="inlineStr"/>
      <c r="W3" s="7" t="inlineStr"/>
      <c r="X3" s="6" t="inlineStr"/>
      <c r="Y3" s="8" t="n"/>
      <c r="Z3" s="9">
        <f>IF(COUNTA(N3:U3)=8,"완료","미완료")</f>
        <v/>
      </c>
      <c r="AA3" s="4" t="inlineStr">
        <is>
          <t>SDRW2000000762.1</t>
        </is>
      </c>
      <c r="AB3" s="4" t="inlineStr">
        <is>
          <t>SD2001178 | SD2001179</t>
        </is>
      </c>
      <c r="AC3" s="4" t="inlineStr">
        <is>
          <t>form_rule_prediction</t>
        </is>
      </c>
      <c r="AD3" s="4" t="inlineStr"/>
      <c r="AE3" s="4" t="inlineStr">
        <is>
          <t>all_lexical_slots</t>
        </is>
      </c>
      <c r="AF3" s="4" t="inlineStr">
        <is>
          <t>all_lexical_slots</t>
        </is>
      </c>
      <c r="AG3" s="4" t="n">
        <v>3</v>
      </c>
    </row>
    <row r="4" ht="43" customHeight="1">
      <c r="A4" s="4" t="n">
        <v>3</v>
      </c>
      <c r="B4" s="3" t="inlineStr"/>
      <c r="C4" s="3" t="n">
        <v>2020</v>
      </c>
      <c r="D4" s="3" t="inlineStr">
        <is>
          <t>SDRW2000001052.1.1.105</t>
        </is>
      </c>
      <c r="E4" s="3" t="inlineStr">
        <is>
          <t>SD2001202</t>
        </is>
      </c>
      <c r="F4" s="3" t="inlineStr">
        <is>
          <t>SD2001203</t>
        </is>
      </c>
      <c r="G4" s="3" t="inlineStr">
        <is>
          <t>이런 걸</t>
        </is>
      </c>
      <c r="H4" s="3" t="inlineStr">
        <is>
          <t>이런 걸</t>
        </is>
      </c>
      <c r="I4" s="3" t="inlineStr">
        <is>
          <t>이런 걸</t>
        </is>
      </c>
      <c r="J4" s="5" t="inlineStr">
        <is>
          <t>WAV 열기</t>
        </is>
      </c>
      <c r="K4" s="5" t="inlineStr">
        <is>
          <t>TextGrid 열기</t>
        </is>
      </c>
      <c r="L4" s="5" t="inlineStr">
        <is>
          <t>CSV 열기</t>
        </is>
      </c>
      <c r="M4" s="5" t="inlineStr">
        <is>
          <t>LAB 열기</t>
        </is>
      </c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7" t="inlineStr"/>
      <c r="X4" s="6" t="inlineStr"/>
      <c r="Y4" s="8" t="n"/>
      <c r="Z4" s="9">
        <f>IF(COUNTA(N4:U4)=8,"완료","미완료")</f>
        <v/>
      </c>
      <c r="AA4" s="4" t="inlineStr">
        <is>
          <t>SDRW2000001052.1</t>
        </is>
      </c>
      <c r="AB4" s="4" t="inlineStr">
        <is>
          <t>SD2001202 | SD2001203</t>
        </is>
      </c>
      <c r="AC4" s="4" t="inlineStr">
        <is>
          <t>form_rule_prediction</t>
        </is>
      </c>
      <c r="AD4" s="4" t="inlineStr"/>
      <c r="AE4" s="4" t="inlineStr">
        <is>
          <t>all_lexical_slots</t>
        </is>
      </c>
      <c r="AF4" s="4" t="inlineStr">
        <is>
          <t>all_lexical_slots</t>
        </is>
      </c>
      <c r="AG4" s="4" t="n">
        <v>4</v>
      </c>
    </row>
    <row r="5" ht="43" customHeight="1">
      <c r="A5" s="4" t="n">
        <v>4</v>
      </c>
      <c r="B5" s="3" t="inlineStr"/>
      <c r="C5" s="3" t="n">
        <v>2020</v>
      </c>
      <c r="D5" s="3" t="inlineStr">
        <is>
          <t>SDRW2000001052.1.1.200</t>
        </is>
      </c>
      <c r="E5" s="3" t="inlineStr">
        <is>
          <t>SD2001202</t>
        </is>
      </c>
      <c r="F5" s="3" t="inlineStr">
        <is>
          <t>SD2001203</t>
        </is>
      </c>
      <c r="G5" s="3" t="inlineStr">
        <is>
          <t>그런 발주를 맡기면서</t>
        </is>
      </c>
      <c r="H5" s="3" t="inlineStr">
        <is>
          <t>그런 발주를 맡기면서</t>
        </is>
      </c>
      <c r="I5" s="3" t="inlineStr">
        <is>
          <t>그런 발주를 맏끼면서</t>
        </is>
      </c>
      <c r="J5" s="5" t="inlineStr">
        <is>
          <t>WAV 열기</t>
        </is>
      </c>
      <c r="K5" s="5" t="inlineStr">
        <is>
          <t>TextGrid 열기</t>
        </is>
      </c>
      <c r="L5" s="5" t="inlineStr">
        <is>
          <t>CSV 열기</t>
        </is>
      </c>
      <c r="M5" s="5" t="inlineStr">
        <is>
          <t>LAB 열기</t>
        </is>
      </c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7" t="inlineStr"/>
      <c r="X5" s="6" t="inlineStr"/>
      <c r="Y5" s="8" t="n"/>
      <c r="Z5" s="9">
        <f>IF(COUNTA(N5:U5)=8,"완료","미완료")</f>
        <v/>
      </c>
      <c r="AA5" s="4" t="inlineStr">
        <is>
          <t>SDRW2000001052.1</t>
        </is>
      </c>
      <c r="AB5" s="4" t="inlineStr">
        <is>
          <t>SD2001202 | SD2001203</t>
        </is>
      </c>
      <c r="AC5" s="4" t="inlineStr">
        <is>
          <t>form_rule_prediction</t>
        </is>
      </c>
      <c r="AD5" s="4" t="inlineStr"/>
      <c r="AE5" s="4" t="inlineStr">
        <is>
          <t>all_lexical_slots</t>
        </is>
      </c>
      <c r="AF5" s="4" t="inlineStr">
        <is>
          <t>all_lexical_slots</t>
        </is>
      </c>
      <c r="AG5" s="4" t="n">
        <v>5</v>
      </c>
    </row>
    <row r="6" ht="43" customHeight="1">
      <c r="A6" s="4" t="n">
        <v>5</v>
      </c>
      <c r="B6" s="3" t="inlineStr"/>
      <c r="C6" s="3" t="n">
        <v>2020</v>
      </c>
      <c r="D6" s="3" t="inlineStr">
        <is>
          <t>SDRW2000001477.1.1.288</t>
        </is>
      </c>
      <c r="E6" s="3" t="inlineStr">
        <is>
          <t>SD2001756</t>
        </is>
      </c>
      <c r="F6" s="3" t="inlineStr">
        <is>
          <t>SD2001757</t>
        </is>
      </c>
      <c r="G6" s="3" t="inlineStr">
        <is>
          <t>갖고 있습니다.</t>
        </is>
      </c>
      <c r="H6" s="3" t="inlineStr">
        <is>
          <t>갖고 있습니다.</t>
        </is>
      </c>
      <c r="I6" s="3" t="inlineStr">
        <is>
          <t>갇꼬 읻씀니다</t>
        </is>
      </c>
      <c r="J6" s="5" t="inlineStr">
        <is>
          <t>WAV 열기</t>
        </is>
      </c>
      <c r="K6" s="5" t="inlineStr">
        <is>
          <t>TextGrid 열기</t>
        </is>
      </c>
      <c r="L6" s="5" t="inlineStr">
        <is>
          <t>CSV 열기</t>
        </is>
      </c>
      <c r="M6" s="5" t="inlineStr">
        <is>
          <t>LAB 열기</t>
        </is>
      </c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7" t="inlineStr"/>
      <c r="X6" s="6" t="inlineStr"/>
      <c r="Y6" s="8" t="n"/>
      <c r="Z6" s="9">
        <f>IF(COUNTA(N6:U6)=8,"완료","미완료")</f>
        <v/>
      </c>
      <c r="AA6" s="4" t="inlineStr">
        <is>
          <t>SDRW2000001477.1</t>
        </is>
      </c>
      <c r="AB6" s="4" t="inlineStr">
        <is>
          <t>SD2001756 | SD2001757</t>
        </is>
      </c>
      <c r="AC6" s="4" t="inlineStr">
        <is>
          <t>form_rule_prediction</t>
        </is>
      </c>
      <c r="AD6" s="4" t="inlineStr"/>
      <c r="AE6" s="4" t="inlineStr">
        <is>
          <t>all_lexical_slots</t>
        </is>
      </c>
      <c r="AF6" s="4" t="inlineStr">
        <is>
          <t>all_lexical_slots</t>
        </is>
      </c>
      <c r="AG6" s="4" t="n">
        <v>6</v>
      </c>
    </row>
    <row r="7" ht="43" customHeight="1">
      <c r="A7" s="4" t="n">
        <v>6</v>
      </c>
      <c r="B7" s="3" t="inlineStr"/>
      <c r="C7" s="3" t="n">
        <v>2020</v>
      </c>
      <c r="D7" s="3" t="inlineStr">
        <is>
          <t>SDRW2000001477.1.1.146</t>
        </is>
      </c>
      <c r="E7" s="3" t="inlineStr">
        <is>
          <t>SD2001756</t>
        </is>
      </c>
      <c r="F7" s="3" t="inlineStr">
        <is>
          <t>SD2001757</t>
        </is>
      </c>
      <c r="G7" s="3" t="inlineStr">
        <is>
          <t>봉준호 감독이</t>
        </is>
      </c>
      <c r="H7" s="3" t="inlineStr">
        <is>
          <t>봉준호 감독이</t>
        </is>
      </c>
      <c r="I7" s="3" t="inlineStr">
        <is>
          <t>봉준호 감도기</t>
        </is>
      </c>
      <c r="J7" s="5" t="inlineStr">
        <is>
          <t>WAV 열기</t>
        </is>
      </c>
      <c r="K7" s="5" t="inlineStr">
        <is>
          <t>TextGrid 열기</t>
        </is>
      </c>
      <c r="L7" s="5" t="inlineStr">
        <is>
          <t>CSV 열기</t>
        </is>
      </c>
      <c r="M7" s="5" t="inlineStr">
        <is>
          <t>LAB 열기</t>
        </is>
      </c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7" t="inlineStr"/>
      <c r="X7" s="6" t="inlineStr"/>
      <c r="Y7" s="8" t="n"/>
      <c r="Z7" s="9">
        <f>IF(COUNTA(N7:U7)=8,"완료","미완료")</f>
        <v/>
      </c>
      <c r="AA7" s="4" t="inlineStr">
        <is>
          <t>SDRW2000001477.1</t>
        </is>
      </c>
      <c r="AB7" s="4" t="inlineStr">
        <is>
          <t>SD2001756 | SD2001757</t>
        </is>
      </c>
      <c r="AC7" s="4" t="inlineStr">
        <is>
          <t>form_rule_prediction</t>
        </is>
      </c>
      <c r="AD7" s="4" t="inlineStr"/>
      <c r="AE7" s="4" t="inlineStr">
        <is>
          <t>all_lexical_slots</t>
        </is>
      </c>
      <c r="AF7" s="4" t="inlineStr">
        <is>
          <t>all_lexical_slots</t>
        </is>
      </c>
      <c r="AG7" s="4" t="n">
        <v>7</v>
      </c>
    </row>
    <row r="8" ht="43" customHeight="1">
      <c r="A8" s="4" t="n">
        <v>7</v>
      </c>
      <c r="B8" s="3" t="inlineStr"/>
      <c r="C8" s="3" t="n">
        <v>2020</v>
      </c>
      <c r="D8" s="3" t="inlineStr">
        <is>
          <t>SDRW2000001593.1.1.301</t>
        </is>
      </c>
      <c r="E8" s="3" t="inlineStr">
        <is>
          <t>SD2001926</t>
        </is>
      </c>
      <c r="F8" s="3" t="inlineStr">
        <is>
          <t>SD2001936</t>
        </is>
      </c>
      <c r="G8" s="3" t="inlineStr">
        <is>
          <t>드린 선물이 기억에 남는 게 있다면</t>
        </is>
      </c>
      <c r="H8" s="3" t="inlineStr">
        <is>
          <t>드린 선물이 기억에 남는 게 있다면</t>
        </is>
      </c>
      <c r="I8" s="3" t="inlineStr">
        <is>
          <t>드린 선무리 기어게 남는 게 읻따면</t>
        </is>
      </c>
      <c r="J8" s="5" t="inlineStr">
        <is>
          <t>WAV 열기</t>
        </is>
      </c>
      <c r="K8" s="5" t="inlineStr">
        <is>
          <t>TextGrid 열기</t>
        </is>
      </c>
      <c r="L8" s="5" t="inlineStr">
        <is>
          <t>CSV 열기</t>
        </is>
      </c>
      <c r="M8" s="5" t="inlineStr">
        <is>
          <t>LAB 열기</t>
        </is>
      </c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7" t="inlineStr"/>
      <c r="X8" s="6" t="inlineStr"/>
      <c r="Y8" s="8" t="n"/>
      <c r="Z8" s="9">
        <f>IF(COUNTA(N8:U8)=8,"완료","미완료")</f>
        <v/>
      </c>
      <c r="AA8" s="4" t="inlineStr">
        <is>
          <t>SDRW2000001593.1</t>
        </is>
      </c>
      <c r="AB8" s="4" t="inlineStr">
        <is>
          <t>SD2001926 | SD2001936</t>
        </is>
      </c>
      <c r="AC8" s="4" t="inlineStr">
        <is>
          <t>form_rule_prediction</t>
        </is>
      </c>
      <c r="AD8" s="4" t="inlineStr"/>
      <c r="AE8" s="4" t="inlineStr">
        <is>
          <t>all_lexical_slots</t>
        </is>
      </c>
      <c r="AF8" s="4" t="inlineStr">
        <is>
          <t>all_lexical_slots</t>
        </is>
      </c>
      <c r="AG8" s="4" t="n">
        <v>8</v>
      </c>
    </row>
    <row r="9" ht="43" customHeight="1">
      <c r="A9" s="4" t="n">
        <v>8</v>
      </c>
      <c r="B9" s="3" t="inlineStr"/>
      <c r="C9" s="3" t="n">
        <v>2020</v>
      </c>
      <c r="D9" s="3" t="inlineStr">
        <is>
          <t>SDRW2000001593.1.1.325</t>
        </is>
      </c>
      <c r="E9" s="3" t="inlineStr">
        <is>
          <t>SD2001926</t>
        </is>
      </c>
      <c r="F9" s="3" t="inlineStr">
        <is>
          <t>SD2001936</t>
        </is>
      </c>
      <c r="G9" s="3" t="inlineStr">
        <is>
          <t>웃어른</t>
        </is>
      </c>
      <c r="H9" s="3" t="inlineStr">
        <is>
          <t>웃어른</t>
        </is>
      </c>
      <c r="I9" s="3" t="inlineStr">
        <is>
          <t>우서른</t>
        </is>
      </c>
      <c r="J9" s="5" t="inlineStr">
        <is>
          <t>WAV 열기</t>
        </is>
      </c>
      <c r="K9" s="5" t="inlineStr">
        <is>
          <t>TextGrid 열기</t>
        </is>
      </c>
      <c r="L9" s="5" t="inlineStr">
        <is>
          <t>CSV 열기</t>
        </is>
      </c>
      <c r="M9" s="5" t="inlineStr">
        <is>
          <t>LAB 열기</t>
        </is>
      </c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7" t="inlineStr"/>
      <c r="X9" s="6" t="inlineStr"/>
      <c r="Y9" s="8" t="n"/>
      <c r="Z9" s="9">
        <f>IF(COUNTA(N9:U9)=8,"완료","미완료")</f>
        <v/>
      </c>
      <c r="AA9" s="4" t="inlineStr">
        <is>
          <t>SDRW2000001593.1</t>
        </is>
      </c>
      <c r="AB9" s="4" t="inlineStr">
        <is>
          <t>SD2001926 | SD2001936</t>
        </is>
      </c>
      <c r="AC9" s="4" t="inlineStr">
        <is>
          <t>form_rule_prediction</t>
        </is>
      </c>
      <c r="AD9" s="4" t="inlineStr"/>
      <c r="AE9" s="4" t="inlineStr">
        <is>
          <t>all_lexical_slots</t>
        </is>
      </c>
      <c r="AF9" s="4" t="inlineStr">
        <is>
          <t>all_lexical_slots</t>
        </is>
      </c>
      <c r="AG9" s="4" t="n">
        <v>9</v>
      </c>
    </row>
    <row r="10" ht="43" customHeight="1">
      <c r="A10" s="4" t="n">
        <v>9</v>
      </c>
      <c r="B10" s="3" t="inlineStr"/>
      <c r="C10" s="3" t="n">
        <v>2020</v>
      </c>
      <c r="D10" s="3" t="inlineStr">
        <is>
          <t>SDRW2000001640.1.1.364</t>
        </is>
      </c>
      <c r="E10" s="3" t="inlineStr">
        <is>
          <t>SD2001982</t>
        </is>
      </c>
      <c r="F10" s="3" t="inlineStr">
        <is>
          <t>SD2001983</t>
        </is>
      </c>
      <c r="G10" s="3" t="inlineStr">
        <is>
          <t>뜨거운 물 좀 퍼가도 되지</t>
        </is>
      </c>
      <c r="H10" s="3" t="inlineStr">
        <is>
          <t>뜨거운 물 좀 퍼가도 되지</t>
        </is>
      </c>
      <c r="I10" s="3" t="inlineStr">
        <is>
          <t>뜨거운 물 좀 퍼가도 되지</t>
        </is>
      </c>
      <c r="J10" s="5" t="inlineStr">
        <is>
          <t>WAV 열기</t>
        </is>
      </c>
      <c r="K10" s="5" t="inlineStr">
        <is>
          <t>TextGrid 열기</t>
        </is>
      </c>
      <c r="L10" s="5" t="inlineStr">
        <is>
          <t>CSV 열기</t>
        </is>
      </c>
      <c r="M10" s="5" t="inlineStr">
        <is>
          <t>LAB 열기</t>
        </is>
      </c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7" t="inlineStr"/>
      <c r="X10" s="6" t="inlineStr"/>
      <c r="Y10" s="8" t="n"/>
      <c r="Z10" s="9">
        <f>IF(COUNTA(N10:U10)=8,"완료","미완료")</f>
        <v/>
      </c>
      <c r="AA10" s="4" t="inlineStr">
        <is>
          <t>SDRW2000001640.1</t>
        </is>
      </c>
      <c r="AB10" s="4" t="inlineStr">
        <is>
          <t>SD2001982 | SD2001983</t>
        </is>
      </c>
      <c r="AC10" s="4" t="inlineStr">
        <is>
          <t>form_rule_prediction</t>
        </is>
      </c>
      <c r="AD10" s="4" t="inlineStr"/>
      <c r="AE10" s="4" t="inlineStr">
        <is>
          <t>all_lexical_slots</t>
        </is>
      </c>
      <c r="AF10" s="4" t="inlineStr">
        <is>
          <t>all_lexical_slots</t>
        </is>
      </c>
      <c r="AG10" s="4" t="n">
        <v>10</v>
      </c>
    </row>
    <row r="11" ht="43" customHeight="1">
      <c r="A11" s="4" t="n">
        <v>10</v>
      </c>
      <c r="B11" s="3" t="inlineStr"/>
      <c r="C11" s="3" t="n">
        <v>2020</v>
      </c>
      <c r="D11" s="3" t="inlineStr">
        <is>
          <t>SDRW2000001640.1.1.361</t>
        </is>
      </c>
      <c r="E11" s="3" t="inlineStr">
        <is>
          <t>SD2001982</t>
        </is>
      </c>
      <c r="F11" s="3" t="inlineStr">
        <is>
          <t>SD2001983</t>
        </is>
      </c>
      <c r="G11" s="3" t="inlineStr">
        <is>
          <t>전기세도 들고</t>
        </is>
      </c>
      <c r="H11" s="3" t="inlineStr">
        <is>
          <t>전기세도 들고</t>
        </is>
      </c>
      <c r="I11" s="3" t="inlineStr">
        <is>
          <t>전기세도 들고</t>
        </is>
      </c>
      <c r="J11" s="5" t="inlineStr">
        <is>
          <t>WAV 열기</t>
        </is>
      </c>
      <c r="K11" s="5" t="inlineStr">
        <is>
          <t>TextGrid 열기</t>
        </is>
      </c>
      <c r="L11" s="5" t="inlineStr">
        <is>
          <t>CSV 열기</t>
        </is>
      </c>
      <c r="M11" s="5" t="inlineStr">
        <is>
          <t>LAB 열기</t>
        </is>
      </c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7" t="inlineStr"/>
      <c r="X11" s="6" t="inlineStr"/>
      <c r="Y11" s="8" t="n"/>
      <c r="Z11" s="9">
        <f>IF(COUNTA(N11:U11)=8,"완료","미완료")</f>
        <v/>
      </c>
      <c r="AA11" s="4" t="inlineStr">
        <is>
          <t>SDRW2000001640.1</t>
        </is>
      </c>
      <c r="AB11" s="4" t="inlineStr">
        <is>
          <t>SD2001982 | SD2001983</t>
        </is>
      </c>
      <c r="AC11" s="4" t="inlineStr">
        <is>
          <t>form_rule_prediction</t>
        </is>
      </c>
      <c r="AD11" s="4" t="inlineStr"/>
      <c r="AE11" s="4" t="inlineStr">
        <is>
          <t>all_lexical_slots</t>
        </is>
      </c>
      <c r="AF11" s="4" t="inlineStr">
        <is>
          <t>all_lexical_slots</t>
        </is>
      </c>
      <c r="AG11" s="4" t="n">
        <v>11</v>
      </c>
    </row>
    <row r="12" ht="43" customHeight="1">
      <c r="A12" s="4" t="n">
        <v>11</v>
      </c>
      <c r="B12" s="3" t="inlineStr"/>
      <c r="C12" s="3" t="n">
        <v>2021</v>
      </c>
      <c r="D12" s="3" t="inlineStr">
        <is>
          <t>SDRW2100001431.1.1.103</t>
        </is>
      </c>
      <c r="E12" s="3" t="inlineStr">
        <is>
          <t>SD2100792</t>
        </is>
      </c>
      <c r="F12" s="3" t="inlineStr">
        <is>
          <t>SD2110791</t>
        </is>
      </c>
      <c r="G12" s="3" t="inlineStr">
        <is>
          <t>되게 애매모호해 진 경우가 되게 많습니다.</t>
        </is>
      </c>
      <c r="H12" s="3" t="inlineStr">
        <is>
          <t>되게 애매모호해 진 경우가 되게 많습니다.</t>
        </is>
      </c>
      <c r="I12" s="3" t="inlineStr">
        <is>
          <t>되게 애매모호해 진 경우가 되게 만씀니다</t>
        </is>
      </c>
      <c r="J12" s="5" t="inlineStr">
        <is>
          <t>WAV 열기</t>
        </is>
      </c>
      <c r="K12" s="5" t="inlineStr">
        <is>
          <t>TextGrid 열기</t>
        </is>
      </c>
      <c r="L12" s="5" t="inlineStr">
        <is>
          <t>CSV 열기</t>
        </is>
      </c>
      <c r="M12" s="5" t="inlineStr">
        <is>
          <t>LAB 열기</t>
        </is>
      </c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7" t="inlineStr"/>
      <c r="X12" s="6" t="inlineStr"/>
      <c r="Y12" s="8" t="n"/>
      <c r="Z12" s="9">
        <f>IF(COUNTA(N12:U12)=8,"완료","미완료")</f>
        <v/>
      </c>
      <c r="AA12" s="4" t="inlineStr">
        <is>
          <t>SDRW2100001431.1</t>
        </is>
      </c>
      <c r="AB12" s="4" t="inlineStr">
        <is>
          <t>SD2100792 | SD2110791</t>
        </is>
      </c>
      <c r="AC12" s="4" t="inlineStr">
        <is>
          <t>form_rule_prediction</t>
        </is>
      </c>
      <c r="AD12" s="4" t="inlineStr"/>
      <c r="AE12" s="4" t="inlineStr">
        <is>
          <t>labeled_word_slots</t>
        </is>
      </c>
      <c r="AF12" s="4" t="inlineStr">
        <is>
          <t>labeled_word_slots</t>
        </is>
      </c>
      <c r="AG12" s="4" t="n">
        <v>12</v>
      </c>
    </row>
    <row r="13" ht="43" customHeight="1">
      <c r="A13" s="4" t="n">
        <v>12</v>
      </c>
      <c r="B13" s="3" t="inlineStr"/>
      <c r="C13" s="3" t="n">
        <v>2021</v>
      </c>
      <c r="D13" s="3" t="inlineStr">
        <is>
          <t>SDRW2100001431.1.1.135</t>
        </is>
      </c>
      <c r="E13" s="3" t="inlineStr">
        <is>
          <t>SD2100792</t>
        </is>
      </c>
      <c r="F13" s="3" t="inlineStr">
        <is>
          <t>SD2110791</t>
        </is>
      </c>
      <c r="G13" s="3" t="inlineStr">
        <is>
          <t>좀</t>
        </is>
      </c>
      <c r="H13" s="3" t="inlineStr">
        <is>
          <t>쫌</t>
        </is>
      </c>
      <c r="I13" s="3" t="inlineStr">
        <is>
          <t>좀</t>
        </is>
      </c>
      <c r="J13" s="5" t="inlineStr">
        <is>
          <t>WAV 열기</t>
        </is>
      </c>
      <c r="K13" s="5" t="inlineStr">
        <is>
          <t>TextGrid 열기</t>
        </is>
      </c>
      <c r="L13" s="5" t="inlineStr">
        <is>
          <t>CSV 열기</t>
        </is>
      </c>
      <c r="M13" s="5" t="inlineStr">
        <is>
          <t>LAB 열기</t>
        </is>
      </c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7" t="inlineStr"/>
      <c r="X13" s="6" t="inlineStr"/>
      <c r="Y13" s="8" t="n"/>
      <c r="Z13" s="9">
        <f>IF(COUNTA(N13:U13)=8,"완료","미완료")</f>
        <v/>
      </c>
      <c r="AA13" s="4" t="inlineStr">
        <is>
          <t>SDRW2100001431.1</t>
        </is>
      </c>
      <c r="AB13" s="4" t="inlineStr">
        <is>
          <t>SD2100792 | SD2110791</t>
        </is>
      </c>
      <c r="AC13" s="4" t="inlineStr">
        <is>
          <t>form_rule_prediction</t>
        </is>
      </c>
      <c r="AD13" s="4" t="inlineStr"/>
      <c r="AE13" s="4" t="inlineStr">
        <is>
          <t>all_lexical_slots</t>
        </is>
      </c>
      <c r="AF13" s="4" t="inlineStr">
        <is>
          <t>all_lexical_slots</t>
        </is>
      </c>
      <c r="AG13" s="4" t="n">
        <v>13</v>
      </c>
    </row>
    <row r="14" ht="43" customHeight="1">
      <c r="A14" s="4" t="n">
        <v>13</v>
      </c>
      <c r="B14" s="3" t="inlineStr"/>
      <c r="C14" s="3" t="n">
        <v>2021</v>
      </c>
      <c r="D14" s="3" t="inlineStr">
        <is>
          <t>SDRW2100003457.1.1.43</t>
        </is>
      </c>
      <c r="E14" s="3" t="inlineStr">
        <is>
          <t>SD2100911</t>
        </is>
      </c>
      <c r="F14" s="3" t="inlineStr">
        <is>
          <t>SD2100912</t>
        </is>
      </c>
      <c r="G14" s="3" t="inlineStr">
        <is>
          <t>하게 될 경우에는</t>
        </is>
      </c>
      <c r="H14" s="3" t="inlineStr">
        <is>
          <t>하게 될 경우에는</t>
        </is>
      </c>
      <c r="I14" s="3" t="inlineStr">
        <is>
          <t>하게 될 경우에는</t>
        </is>
      </c>
      <c r="J14" s="5" t="inlineStr">
        <is>
          <t>WAV 열기</t>
        </is>
      </c>
      <c r="K14" s="5" t="inlineStr">
        <is>
          <t>TextGrid 열기</t>
        </is>
      </c>
      <c r="L14" s="5" t="inlineStr">
        <is>
          <t>CSV 열기</t>
        </is>
      </c>
      <c r="M14" s="5" t="inlineStr">
        <is>
          <t>LAB 열기</t>
        </is>
      </c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7" t="inlineStr"/>
      <c r="X14" s="6" t="inlineStr"/>
      <c r="Y14" s="8" t="n"/>
      <c r="Z14" s="9">
        <f>IF(COUNTA(N14:U14)=8,"완료","미완료")</f>
        <v/>
      </c>
      <c r="AA14" s="4" t="inlineStr">
        <is>
          <t>SDRW2100003457.1</t>
        </is>
      </c>
      <c r="AB14" s="4" t="inlineStr">
        <is>
          <t>SD2100911 | SD2100912</t>
        </is>
      </c>
      <c r="AC14" s="4" t="inlineStr">
        <is>
          <t>form_rule_prediction</t>
        </is>
      </c>
      <c r="AD14" s="4" t="inlineStr"/>
      <c r="AE14" s="4" t="inlineStr">
        <is>
          <t>all_lexical_slots</t>
        </is>
      </c>
      <c r="AF14" s="4" t="inlineStr">
        <is>
          <t>all_lexical_slots</t>
        </is>
      </c>
      <c r="AG14" s="4" t="n">
        <v>14</v>
      </c>
    </row>
    <row r="15" ht="43" customHeight="1">
      <c r="A15" s="4" t="n">
        <v>14</v>
      </c>
      <c r="B15" s="3" t="inlineStr"/>
      <c r="C15" s="3" t="n">
        <v>2021</v>
      </c>
      <c r="D15" s="3" t="inlineStr">
        <is>
          <t>SDRW2100003457.1.1.200</t>
        </is>
      </c>
      <c r="E15" s="3" t="inlineStr">
        <is>
          <t>SD2100911</t>
        </is>
      </c>
      <c r="F15" s="3" t="inlineStr">
        <is>
          <t>SD2100912</t>
        </is>
      </c>
      <c r="G15" s="3" t="inlineStr">
        <is>
          <t>많은 범죄들</t>
        </is>
      </c>
      <c r="H15" s="3" t="inlineStr">
        <is>
          <t>많은 범죄들</t>
        </is>
      </c>
      <c r="I15" s="3" t="inlineStr">
        <is>
          <t>마는 범죄들</t>
        </is>
      </c>
      <c r="J15" s="5" t="inlineStr">
        <is>
          <t>WAV 열기</t>
        </is>
      </c>
      <c r="K15" s="5" t="inlineStr">
        <is>
          <t>TextGrid 열기</t>
        </is>
      </c>
      <c r="L15" s="5" t="inlineStr">
        <is>
          <t>CSV 열기</t>
        </is>
      </c>
      <c r="M15" s="5" t="inlineStr">
        <is>
          <t>LAB 열기</t>
        </is>
      </c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7" t="inlineStr"/>
      <c r="X15" s="6" t="inlineStr"/>
      <c r="Y15" s="8" t="n"/>
      <c r="Z15" s="9">
        <f>IF(COUNTA(N15:U15)=8,"완료","미완료")</f>
        <v/>
      </c>
      <c r="AA15" s="4" t="inlineStr">
        <is>
          <t>SDRW2100003457.1</t>
        </is>
      </c>
      <c r="AB15" s="4" t="inlineStr">
        <is>
          <t>SD2100911 | SD2100912</t>
        </is>
      </c>
      <c r="AC15" s="4" t="inlineStr">
        <is>
          <t>form_rule_prediction</t>
        </is>
      </c>
      <c r="AD15" s="4" t="inlineStr"/>
      <c r="AE15" s="4" t="inlineStr">
        <is>
          <t>labeled_word_slots</t>
        </is>
      </c>
      <c r="AF15" s="4" t="inlineStr">
        <is>
          <t>labeled_word_slots</t>
        </is>
      </c>
      <c r="AG15" s="4" t="n">
        <v>15</v>
      </c>
    </row>
    <row r="16" ht="43" customHeight="1">
      <c r="A16" s="4" t="n">
        <v>15</v>
      </c>
      <c r="B16" s="3" t="inlineStr"/>
      <c r="C16" s="3" t="n">
        <v>2021</v>
      </c>
      <c r="D16" s="3" t="inlineStr">
        <is>
          <t>SDRW2100001607.1.1.228</t>
        </is>
      </c>
      <c r="E16" s="3" t="inlineStr">
        <is>
          <t>SD2101608</t>
        </is>
      </c>
      <c r="F16" s="3" t="inlineStr">
        <is>
          <t>SD2101607</t>
        </is>
      </c>
      <c r="G16" s="3" t="inlineStr">
        <is>
          <t>상관없나?</t>
        </is>
      </c>
      <c r="H16" s="3" t="inlineStr">
        <is>
          <t>상관없나? {laughing}</t>
        </is>
      </c>
      <c r="I16" s="3" t="inlineStr">
        <is>
          <t>상과넘나</t>
        </is>
      </c>
      <c r="J16" s="5" t="inlineStr">
        <is>
          <t>WAV 열기</t>
        </is>
      </c>
      <c r="K16" s="5" t="inlineStr">
        <is>
          <t>TextGrid 열기</t>
        </is>
      </c>
      <c r="L16" s="5" t="inlineStr">
        <is>
          <t>CSV 열기</t>
        </is>
      </c>
      <c r="M16" s="5" t="inlineStr">
        <is>
          <t>LAB 열기</t>
        </is>
      </c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7" t="inlineStr"/>
      <c r="X16" s="6" t="inlineStr"/>
      <c r="Y16" s="8" t="n"/>
      <c r="Z16" s="9">
        <f>IF(COUNTA(N16:U16)=8,"완료","미완료")</f>
        <v/>
      </c>
      <c r="AA16" s="4" t="inlineStr">
        <is>
          <t>SDRW2100001607.1</t>
        </is>
      </c>
      <c r="AB16" s="4" t="inlineStr">
        <is>
          <t>SD2101607 | SD2101608</t>
        </is>
      </c>
      <c r="AC16" s="4" t="inlineStr">
        <is>
          <t>form_rule_prediction</t>
        </is>
      </c>
      <c r="AD16" s="4" t="inlineStr">
        <is>
          <t>original_form: tokens=2, lexical_slots=1, labeled_slots=1</t>
        </is>
      </c>
      <c r="AE16" s="4" t="inlineStr">
        <is>
          <t>utterance_fallback</t>
        </is>
      </c>
      <c r="AF16" s="4" t="inlineStr">
        <is>
          <t>all_lexical_slots</t>
        </is>
      </c>
      <c r="AG16" s="4" t="n">
        <v>16</v>
      </c>
    </row>
    <row r="17" ht="43" customHeight="1">
      <c r="A17" s="4" t="n">
        <v>16</v>
      </c>
      <c r="B17" s="3" t="inlineStr"/>
      <c r="C17" s="3" t="n">
        <v>2021</v>
      </c>
      <c r="D17" s="3" t="inlineStr">
        <is>
          <t>SDRW2100001607.1.1.485</t>
        </is>
      </c>
      <c r="E17" s="3" t="inlineStr">
        <is>
          <t>SD2101608</t>
        </is>
      </c>
      <c r="F17" s="3" t="inlineStr">
        <is>
          <t>SD2101607</t>
        </is>
      </c>
      <c r="G17" s="3" t="inlineStr">
        <is>
          <t>친구 간 선호 이게 뭔 뜻이지?</t>
        </is>
      </c>
      <c r="H17" s="3" t="inlineStr">
        <is>
          <t>친구 간 선호 이게 뭔 뜻이지?</t>
        </is>
      </c>
      <c r="I17" s="3" t="inlineStr">
        <is>
          <t>친구 간 선호 이게 뭔 뜨시지</t>
        </is>
      </c>
      <c r="J17" s="5" t="inlineStr">
        <is>
          <t>WAV 열기</t>
        </is>
      </c>
      <c r="K17" s="5" t="inlineStr">
        <is>
          <t>TextGrid 열기</t>
        </is>
      </c>
      <c r="L17" s="5" t="inlineStr">
        <is>
          <t>CSV 열기</t>
        </is>
      </c>
      <c r="M17" s="5" t="inlineStr">
        <is>
          <t>LAB 열기</t>
        </is>
      </c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7" t="inlineStr"/>
      <c r="X17" s="6" t="inlineStr"/>
      <c r="Y17" s="8" t="n"/>
      <c r="Z17" s="9">
        <f>IF(COUNTA(N17:U17)=8,"완료","미완료")</f>
        <v/>
      </c>
      <c r="AA17" s="4" t="inlineStr">
        <is>
          <t>SDRW2100001607.1</t>
        </is>
      </c>
      <c r="AB17" s="4" t="inlineStr">
        <is>
          <t>SD2101607 | SD2101608</t>
        </is>
      </c>
      <c r="AC17" s="4" t="inlineStr">
        <is>
          <t>form_rule_prediction</t>
        </is>
      </c>
      <c r="AD17" s="4" t="inlineStr"/>
      <c r="AE17" s="4" t="inlineStr">
        <is>
          <t>all_lexical_slots</t>
        </is>
      </c>
      <c r="AF17" s="4" t="inlineStr">
        <is>
          <t>all_lexical_slots</t>
        </is>
      </c>
      <c r="AG17" s="4" t="n">
        <v>17</v>
      </c>
    </row>
    <row r="18" ht="43" customHeight="1">
      <c r="A18" s="4" t="n">
        <v>17</v>
      </c>
      <c r="B18" s="3" t="inlineStr"/>
      <c r="C18" s="3" t="n">
        <v>2021</v>
      </c>
      <c r="D18" s="3" t="inlineStr">
        <is>
          <t>SDRW2100001646.1.1.113</t>
        </is>
      </c>
      <c r="E18" s="3" t="inlineStr">
        <is>
          <t>SD2101640</t>
        </is>
      </c>
      <c r="F18" s="3" t="inlineStr">
        <is>
          <t>SD2101639</t>
        </is>
      </c>
      <c r="G18" s="3" t="inlineStr">
        <is>
          <t>아.</t>
        </is>
      </c>
      <c r="H18" s="3" t="inlineStr">
        <is>
          <t>아.</t>
        </is>
      </c>
      <c r="I18" s="3" t="inlineStr">
        <is>
          <t>아</t>
        </is>
      </c>
      <c r="J18" s="5" t="inlineStr">
        <is>
          <t>WAV 열기</t>
        </is>
      </c>
      <c r="K18" s="5" t="inlineStr">
        <is>
          <t>TextGrid 열기</t>
        </is>
      </c>
      <c r="L18" s="5" t="inlineStr">
        <is>
          <t>CSV 열기</t>
        </is>
      </c>
      <c r="M18" s="5" t="inlineStr">
        <is>
          <t>LAB 열기</t>
        </is>
      </c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7" t="inlineStr"/>
      <c r="X18" s="6" t="inlineStr"/>
      <c r="Y18" s="8" t="n"/>
      <c r="Z18" s="9">
        <f>IF(COUNTA(N18:U18)=8,"완료","미완료")</f>
        <v/>
      </c>
      <c r="AA18" s="4" t="inlineStr">
        <is>
          <t>SDRW2100001646.1</t>
        </is>
      </c>
      <c r="AB18" s="4" t="inlineStr">
        <is>
          <t>SD2101639 | SD2101640</t>
        </is>
      </c>
      <c r="AC18" s="4" t="inlineStr">
        <is>
          <t>form_rule_prediction</t>
        </is>
      </c>
      <c r="AD18" s="4" t="inlineStr"/>
      <c r="AE18" s="4" t="inlineStr">
        <is>
          <t>all_lexical_slots</t>
        </is>
      </c>
      <c r="AF18" s="4" t="inlineStr">
        <is>
          <t>all_lexical_slots</t>
        </is>
      </c>
      <c r="AG18" s="4" t="n">
        <v>18</v>
      </c>
    </row>
    <row r="19" ht="43" customHeight="1">
      <c r="A19" s="4" t="n">
        <v>18</v>
      </c>
      <c r="B19" s="3" t="inlineStr"/>
      <c r="C19" s="3" t="n">
        <v>2021</v>
      </c>
      <c r="D19" s="3" t="inlineStr">
        <is>
          <t>SDRW2100001646.1.1.269</t>
        </is>
      </c>
      <c r="E19" s="3" t="inlineStr">
        <is>
          <t>SD2101640</t>
        </is>
      </c>
      <c r="F19" s="3" t="inlineStr">
        <is>
          <t>SD2101639</t>
        </is>
      </c>
      <c r="G19" s="3" t="inlineStr">
        <is>
          <t>맞아.</t>
        </is>
      </c>
      <c r="H19" s="3" t="inlineStr">
        <is>
          <t>맞아.</t>
        </is>
      </c>
      <c r="I19" s="3" t="inlineStr">
        <is>
          <t>마자</t>
        </is>
      </c>
      <c r="J19" s="5" t="inlineStr">
        <is>
          <t>WAV 열기</t>
        </is>
      </c>
      <c r="K19" s="5" t="inlineStr">
        <is>
          <t>TextGrid 열기</t>
        </is>
      </c>
      <c r="L19" s="5" t="inlineStr">
        <is>
          <t>CSV 열기</t>
        </is>
      </c>
      <c r="M19" s="5" t="inlineStr">
        <is>
          <t>LAB 열기</t>
        </is>
      </c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7" t="inlineStr"/>
      <c r="X19" s="6" t="inlineStr"/>
      <c r="Y19" s="8" t="n"/>
      <c r="Z19" s="9">
        <f>IF(COUNTA(N19:U19)=8,"완료","미완료")</f>
        <v/>
      </c>
      <c r="AA19" s="4" t="inlineStr">
        <is>
          <t>SDRW2100001646.1</t>
        </is>
      </c>
      <c r="AB19" s="4" t="inlineStr">
        <is>
          <t>SD2101639 | SD2101640</t>
        </is>
      </c>
      <c r="AC19" s="4" t="inlineStr">
        <is>
          <t>form_rule_prediction</t>
        </is>
      </c>
      <c r="AD19" s="4" t="inlineStr"/>
      <c r="AE19" s="4" t="inlineStr">
        <is>
          <t>all_lexical_slots</t>
        </is>
      </c>
      <c r="AF19" s="4" t="inlineStr">
        <is>
          <t>all_lexical_slots</t>
        </is>
      </c>
      <c r="AG19" s="4" t="n">
        <v>19</v>
      </c>
    </row>
    <row r="20" ht="43" customHeight="1">
      <c r="A20" s="4" t="n">
        <v>19</v>
      </c>
      <c r="B20" s="3" t="inlineStr"/>
      <c r="C20" s="3" t="n">
        <v>2021</v>
      </c>
      <c r="D20" s="3" t="inlineStr">
        <is>
          <t>SDRW2100004382.1.1.141</t>
        </is>
      </c>
      <c r="E20" s="3" t="inlineStr">
        <is>
          <t>SD2102409</t>
        </is>
      </c>
      <c r="F20" s="3" t="inlineStr">
        <is>
          <t>SD2102410</t>
        </is>
      </c>
      <c r="G20" s="3" t="inlineStr">
        <is>
          <t>나이가 들어서 어느 정도 됐을 때는 음 결혼 상대자가 있었으면 좋겠어.</t>
        </is>
      </c>
      <c r="H20" s="3" t="inlineStr">
        <is>
          <t>나이가 들어서 어느 정도 됐을 때는 음 결혼 상대자가 있었으면 좋겠어.</t>
        </is>
      </c>
      <c r="I20" s="3" t="inlineStr">
        <is>
          <t>나이가 드러서 어느 정도 돼쓸 때는 음 결혼 상대자가 이써쓰면 조케써</t>
        </is>
      </c>
      <c r="J20" s="5" t="inlineStr">
        <is>
          <t>WAV 열기</t>
        </is>
      </c>
      <c r="K20" s="5" t="inlineStr">
        <is>
          <t>TextGrid 열기</t>
        </is>
      </c>
      <c r="L20" s="5" t="inlineStr">
        <is>
          <t>CSV 열기</t>
        </is>
      </c>
      <c r="M20" s="5" t="inlineStr">
        <is>
          <t>LAB 열기</t>
        </is>
      </c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7" t="inlineStr"/>
      <c r="X20" s="6" t="inlineStr"/>
      <c r="Y20" s="8" t="n"/>
      <c r="Z20" s="9">
        <f>IF(COUNTA(N20:U20)=8,"완료","미완료")</f>
        <v/>
      </c>
      <c r="AA20" s="4" t="inlineStr">
        <is>
          <t>SDRW2100004382.1</t>
        </is>
      </c>
      <c r="AB20" s="4" t="inlineStr">
        <is>
          <t>SD2102409 | SD2102410</t>
        </is>
      </c>
      <c r="AC20" s="4" t="inlineStr">
        <is>
          <t>form_rule_prediction</t>
        </is>
      </c>
      <c r="AD20" s="4" t="inlineStr"/>
      <c r="AE20" s="4" t="inlineStr">
        <is>
          <t>labeled_word_slots</t>
        </is>
      </c>
      <c r="AF20" s="4" t="inlineStr">
        <is>
          <t>labeled_word_slots</t>
        </is>
      </c>
      <c r="AG20" s="4" t="n">
        <v>20</v>
      </c>
    </row>
    <row r="21" ht="43" customHeight="1">
      <c r="A21" s="4" t="n">
        <v>20</v>
      </c>
      <c r="B21" s="3" t="inlineStr"/>
      <c r="C21" s="3" t="n">
        <v>2021</v>
      </c>
      <c r="D21" s="3" t="inlineStr">
        <is>
          <t>SDRW2100004382.1.1.298</t>
        </is>
      </c>
      <c r="E21" s="3" t="inlineStr">
        <is>
          <t>SD2102409</t>
        </is>
      </c>
      <c r="F21" s="3" t="inlineStr">
        <is>
          <t>SD2102410</t>
        </is>
      </c>
      <c r="G21" s="3" t="inlineStr">
        <is>
          <t>그냥 트래킹 가다가 지나간 거니까 거기서 그냥 꽃 사서</t>
        </is>
      </c>
      <c r="H21" s="3" t="inlineStr">
        <is>
          <t>그냥 트래킹 가다가 지나간 거니까 거기서 그냥 꽃 사서</t>
        </is>
      </c>
      <c r="I21" s="3" t="inlineStr">
        <is>
          <t>그냥 트래킹 가다가 지나간 거니까 거기서 그냥 꼳 사서</t>
        </is>
      </c>
      <c r="J21" s="5" t="inlineStr">
        <is>
          <t>WAV 열기</t>
        </is>
      </c>
      <c r="K21" s="5" t="inlineStr">
        <is>
          <t>TextGrid 열기</t>
        </is>
      </c>
      <c r="L21" s="5" t="inlineStr">
        <is>
          <t>CSV 열기</t>
        </is>
      </c>
      <c r="M21" s="5" t="inlineStr">
        <is>
          <t>LAB 열기</t>
        </is>
      </c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7" t="inlineStr"/>
      <c r="X21" s="6" t="inlineStr"/>
      <c r="Y21" s="8" t="n"/>
      <c r="Z21" s="9">
        <f>IF(COUNTA(N21:U21)=8,"완료","미완료")</f>
        <v/>
      </c>
      <c r="AA21" s="4" t="inlineStr">
        <is>
          <t>SDRW2100004382.1</t>
        </is>
      </c>
      <c r="AB21" s="4" t="inlineStr">
        <is>
          <t>SD2102409 | SD2102410</t>
        </is>
      </c>
      <c r="AC21" s="4" t="inlineStr">
        <is>
          <t>form_rule_prediction</t>
        </is>
      </c>
      <c r="AD21" s="4" t="inlineStr"/>
      <c r="AE21" s="4" t="inlineStr">
        <is>
          <t>labeled_word_slots</t>
        </is>
      </c>
      <c r="AF21" s="4" t="inlineStr">
        <is>
          <t>labeled_word_slots</t>
        </is>
      </c>
      <c r="AG21" s="4" t="n">
        <v>21</v>
      </c>
    </row>
    <row r="22" ht="43" customHeight="1">
      <c r="A22" s="4" t="n">
        <v>21</v>
      </c>
      <c r="B22" s="3" t="inlineStr"/>
      <c r="C22" s="3" t="n">
        <v>2022</v>
      </c>
      <c r="D22" s="3" t="inlineStr">
        <is>
          <t>SDRW2200002419.1.1.72</t>
        </is>
      </c>
      <c r="E22" s="3" t="inlineStr">
        <is>
          <t>SD2201149</t>
        </is>
      </c>
      <c r="F22" s="3" t="inlineStr">
        <is>
          <t>SD2201150</t>
        </is>
      </c>
      <c r="G22" s="3" t="inlineStr">
        <is>
          <t>철판 올리고 나르고 그게 엄청 힘들었는데?</t>
        </is>
      </c>
      <c r="H22" s="3" t="inlineStr">
        <is>
          <t>철판 올르고 날르고 그게 엄청 힘들었는데?</t>
        </is>
      </c>
      <c r="I22" s="3" t="inlineStr">
        <is>
          <t>철판 올리고 나르고 그게 엄청 힘드런는데</t>
        </is>
      </c>
      <c r="J22" s="5" t="inlineStr">
        <is>
          <t>WAV 열기</t>
        </is>
      </c>
      <c r="K22" s="5" t="inlineStr">
        <is>
          <t>TextGrid 열기</t>
        </is>
      </c>
      <c r="L22" s="5" t="inlineStr">
        <is>
          <t>CSV 열기</t>
        </is>
      </c>
      <c r="M22" s="5" t="inlineStr">
        <is>
          <t>LAB 열기</t>
        </is>
      </c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7" t="inlineStr"/>
      <c r="X22" s="6" t="inlineStr"/>
      <c r="Y22" s="8" t="n"/>
      <c r="Z22" s="9">
        <f>IF(COUNTA(N22:U22)=8,"완료","미완료")</f>
        <v/>
      </c>
      <c r="AA22" s="4" t="inlineStr">
        <is>
          <t>SDRW2200002419.1</t>
        </is>
      </c>
      <c r="AB22" s="4" t="inlineStr">
        <is>
          <t>SD2201149 | SD2201150</t>
        </is>
      </c>
      <c r="AC22" s="4" t="inlineStr">
        <is>
          <t>form_rule_prediction</t>
        </is>
      </c>
      <c r="AD22" s="4" t="inlineStr"/>
      <c r="AE22" s="4" t="inlineStr">
        <is>
          <t>labeled_word_slots</t>
        </is>
      </c>
      <c r="AF22" s="4" t="inlineStr">
        <is>
          <t>labeled_word_slots</t>
        </is>
      </c>
      <c r="AG22" s="4" t="n">
        <v>22</v>
      </c>
    </row>
    <row r="23" ht="43" customHeight="1">
      <c r="A23" s="4" t="n">
        <v>22</v>
      </c>
      <c r="B23" s="3" t="inlineStr"/>
      <c r="C23" s="3" t="n">
        <v>2022</v>
      </c>
      <c r="D23" s="3" t="inlineStr">
        <is>
          <t>SDRW2200002419.1.1.411</t>
        </is>
      </c>
      <c r="E23" s="3" t="inlineStr">
        <is>
          <t>SD2201149</t>
        </is>
      </c>
      <c r="F23" s="3" t="inlineStr">
        <is>
          <t>SD2201150</t>
        </is>
      </c>
      <c r="G23" s="3" t="inlineStr">
        <is>
          <t>무거운 거 다 내가 쌓아야 되고 옮겨야 되고</t>
        </is>
      </c>
      <c r="H23" s="3" t="inlineStr">
        <is>
          <t>무거운 거 다 내가 쌓아야 되고 옮겨야 되고</t>
        </is>
      </c>
      <c r="I23" s="3" t="inlineStr">
        <is>
          <t>무거운 거 다 내가 싸아야 되고 옴겨야 되고</t>
        </is>
      </c>
      <c r="J23" s="5" t="inlineStr">
        <is>
          <t>WAV 열기</t>
        </is>
      </c>
      <c r="K23" s="5" t="inlineStr">
        <is>
          <t>TextGrid 열기</t>
        </is>
      </c>
      <c r="L23" s="5" t="inlineStr">
        <is>
          <t>CSV 열기</t>
        </is>
      </c>
      <c r="M23" s="5" t="inlineStr">
        <is>
          <t>LAB 열기</t>
        </is>
      </c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7" t="inlineStr"/>
      <c r="X23" s="6" t="inlineStr"/>
      <c r="Y23" s="8" t="n"/>
      <c r="Z23" s="9">
        <f>IF(COUNTA(N23:U23)=8,"완료","미완료")</f>
        <v/>
      </c>
      <c r="AA23" s="4" t="inlineStr">
        <is>
          <t>SDRW2200002419.1</t>
        </is>
      </c>
      <c r="AB23" s="4" t="inlineStr">
        <is>
          <t>SD2201149 | SD2201150</t>
        </is>
      </c>
      <c r="AC23" s="4" t="inlineStr">
        <is>
          <t>form_rule_prediction</t>
        </is>
      </c>
      <c r="AD23" s="4" t="inlineStr"/>
      <c r="AE23" s="4" t="inlineStr">
        <is>
          <t>labeled_word_slots</t>
        </is>
      </c>
      <c r="AF23" s="4" t="inlineStr">
        <is>
          <t>labeled_word_slots</t>
        </is>
      </c>
      <c r="AG23" s="4" t="n">
        <v>23</v>
      </c>
    </row>
    <row r="24" ht="43" customHeight="1">
      <c r="A24" s="4" t="n">
        <v>23</v>
      </c>
      <c r="B24" s="3" t="inlineStr"/>
      <c r="C24" s="3" t="n">
        <v>2022</v>
      </c>
      <c r="D24" s="3" t="inlineStr">
        <is>
          <t>SDRW2200000836.1.1.61</t>
        </is>
      </c>
      <c r="E24" s="3" t="inlineStr">
        <is>
          <t>SD2201235</t>
        </is>
      </c>
      <c r="F24" s="3" t="inlineStr">
        <is>
          <t>SD2201236</t>
        </is>
      </c>
      <c r="G24" s="3" t="inlineStr">
        <is>
          <t>꽃에 모양은 어땠어?</t>
        </is>
      </c>
      <c r="H24" s="3" t="inlineStr">
        <is>
          <t>꽃에 모양은 어땠어?</t>
        </is>
      </c>
      <c r="I24" s="3" t="inlineStr">
        <is>
          <t>꼬체 모양은 어때써</t>
        </is>
      </c>
      <c r="J24" s="5" t="inlineStr">
        <is>
          <t>WAV 열기</t>
        </is>
      </c>
      <c r="K24" s="5" t="inlineStr">
        <is>
          <t>TextGrid 열기</t>
        </is>
      </c>
      <c r="L24" s="5" t="inlineStr">
        <is>
          <t>CSV 열기</t>
        </is>
      </c>
      <c r="M24" s="5" t="inlineStr">
        <is>
          <t>LAB 열기</t>
        </is>
      </c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7" t="inlineStr"/>
      <c r="X24" s="6" t="inlineStr"/>
      <c r="Y24" s="8" t="n"/>
      <c r="Z24" s="9">
        <f>IF(COUNTA(N24:U24)=8,"완료","미완료")</f>
        <v/>
      </c>
      <c r="AA24" s="4" t="inlineStr">
        <is>
          <t>SDRW2200000836.1</t>
        </is>
      </c>
      <c r="AB24" s="4" t="inlineStr">
        <is>
          <t>SD2201235 | SD2201236</t>
        </is>
      </c>
      <c r="AC24" s="4" t="inlineStr">
        <is>
          <t>form_rule_prediction</t>
        </is>
      </c>
      <c r="AD24" s="4" t="inlineStr"/>
      <c r="AE24" s="4" t="inlineStr">
        <is>
          <t>labeled_word_slots</t>
        </is>
      </c>
      <c r="AF24" s="4" t="inlineStr">
        <is>
          <t>labeled_word_slots</t>
        </is>
      </c>
      <c r="AG24" s="4" t="n">
        <v>24</v>
      </c>
    </row>
    <row r="25" ht="43" customHeight="1">
      <c r="A25" s="4" t="n">
        <v>24</v>
      </c>
      <c r="B25" s="3" t="inlineStr"/>
      <c r="C25" s="3" t="n">
        <v>2022</v>
      </c>
      <c r="D25" s="3" t="inlineStr">
        <is>
          <t>SDRW2200000836.1.1.119</t>
        </is>
      </c>
      <c r="E25" s="3" t="inlineStr">
        <is>
          <t>SD2201235</t>
        </is>
      </c>
      <c r="F25" s="3" t="inlineStr">
        <is>
          <t>SD2201236</t>
        </is>
      </c>
      <c r="G25" s="3" t="inlineStr">
        <is>
          <t>그렇네 그 정도만 돼도 좋을 텐데 철물 구조 그거 되게 비쌌을 텐데.</t>
        </is>
      </c>
      <c r="H25" s="3" t="inlineStr">
        <is>
          <t>그렇네 그 정도만 돼도 좋을 텐데 철물 구조 그거 되게 비쌌을 텐데.</t>
        </is>
      </c>
      <c r="I25" s="3" t="inlineStr">
        <is>
          <t>그런네 그 정도만 돼도 조을 텐데 철물 구조 그거 되게 비싸쓸 텐데</t>
        </is>
      </c>
      <c r="J25" s="5" t="inlineStr">
        <is>
          <t>WAV 열기</t>
        </is>
      </c>
      <c r="K25" s="5" t="inlineStr">
        <is>
          <t>TextGrid 열기</t>
        </is>
      </c>
      <c r="L25" s="5" t="inlineStr">
        <is>
          <t>CSV 열기</t>
        </is>
      </c>
      <c r="M25" s="5" t="inlineStr">
        <is>
          <t>LAB 열기</t>
        </is>
      </c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7" t="inlineStr"/>
      <c r="X25" s="6" t="inlineStr"/>
      <c r="Y25" s="8" t="n"/>
      <c r="Z25" s="9">
        <f>IF(COUNTA(N25:U25)=8,"완료","미완료")</f>
        <v/>
      </c>
      <c r="AA25" s="4" t="inlineStr">
        <is>
          <t>SDRW2200000836.1</t>
        </is>
      </c>
      <c r="AB25" s="4" t="inlineStr">
        <is>
          <t>SD2201235 | SD2201236</t>
        </is>
      </c>
      <c r="AC25" s="4" t="inlineStr">
        <is>
          <t>form_rule_prediction</t>
        </is>
      </c>
      <c r="AD25" s="4" t="inlineStr"/>
      <c r="AE25" s="4" t="inlineStr">
        <is>
          <t>labeled_word_slots</t>
        </is>
      </c>
      <c r="AF25" s="4" t="inlineStr">
        <is>
          <t>labeled_word_slots</t>
        </is>
      </c>
      <c r="AG25" s="4" t="n">
        <v>25</v>
      </c>
    </row>
    <row r="26" ht="43" customHeight="1">
      <c r="A26" s="4" t="n">
        <v>25</v>
      </c>
      <c r="B26" s="3" t="inlineStr"/>
      <c r="C26" s="3" t="n">
        <v>2022</v>
      </c>
      <c r="D26" s="3" t="inlineStr">
        <is>
          <t>SDRW2200001237.1.1.223</t>
        </is>
      </c>
      <c r="E26" s="3" t="inlineStr">
        <is>
          <t>SD2201782</t>
        </is>
      </c>
      <c r="F26" s="3" t="inlineStr">
        <is>
          <t>SD2201781</t>
        </is>
      </c>
      <c r="G26" s="3" t="inlineStr">
        <is>
          <t>나는 연락을 받았는데 자기는 안 가고 싶어하고</t>
        </is>
      </c>
      <c r="H26" s="3" t="inlineStr">
        <is>
          <t>나는 연락을 받았는데 자기는 안 가고 싶어하고</t>
        </is>
      </c>
      <c r="I26" s="3" t="inlineStr">
        <is>
          <t>나는 열라글 바단는데 자기는 안 가고 시퍼하고</t>
        </is>
      </c>
      <c r="J26" s="5" t="inlineStr">
        <is>
          <t>WAV 열기</t>
        </is>
      </c>
      <c r="K26" s="5" t="inlineStr">
        <is>
          <t>TextGrid 열기</t>
        </is>
      </c>
      <c r="L26" s="5" t="inlineStr">
        <is>
          <t>CSV 열기</t>
        </is>
      </c>
      <c r="M26" s="5" t="inlineStr">
        <is>
          <t>LAB 열기</t>
        </is>
      </c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7" t="inlineStr"/>
      <c r="X26" s="6" t="inlineStr"/>
      <c r="Y26" s="8" t="n"/>
      <c r="Z26" s="9">
        <f>IF(COUNTA(N26:U26)=8,"완료","미완료")</f>
        <v/>
      </c>
      <c r="AA26" s="4" t="inlineStr">
        <is>
          <t>SDRW2200001237.1</t>
        </is>
      </c>
      <c r="AB26" s="4" t="inlineStr">
        <is>
          <t>SD2201781 | SD2201782</t>
        </is>
      </c>
      <c r="AC26" s="4" t="inlineStr">
        <is>
          <t>form_rule_prediction</t>
        </is>
      </c>
      <c r="AD26" s="4" t="inlineStr"/>
      <c r="AE26" s="4" t="inlineStr">
        <is>
          <t>labeled_word_slots</t>
        </is>
      </c>
      <c r="AF26" s="4" t="inlineStr">
        <is>
          <t>labeled_word_slots</t>
        </is>
      </c>
      <c r="AG26" s="4" t="n">
        <v>26</v>
      </c>
    </row>
    <row r="27" ht="43" customHeight="1">
      <c r="A27" s="4" t="n">
        <v>26</v>
      </c>
      <c r="B27" s="3" t="inlineStr"/>
      <c r="C27" s="3" t="n">
        <v>2022</v>
      </c>
      <c r="D27" s="3" t="inlineStr">
        <is>
          <t>SDRW2200001237.1.1.105</t>
        </is>
      </c>
      <c r="E27" s="3" t="inlineStr">
        <is>
          <t>SD2201782</t>
        </is>
      </c>
      <c r="F27" s="3" t="inlineStr">
        <is>
          <t>SD2201781</t>
        </is>
      </c>
      <c r="G27" s="3" t="inlineStr">
        <is>
          <t>며느리 사랑은 시아버지야.</t>
        </is>
      </c>
      <c r="H27" s="3" t="inlineStr">
        <is>
          <t>며느리 사랑은 시아버지야.</t>
        </is>
      </c>
      <c r="I27" s="3" t="inlineStr">
        <is>
          <t>며느리 사랑은 시아버지야</t>
        </is>
      </c>
      <c r="J27" s="5" t="inlineStr">
        <is>
          <t>WAV 열기</t>
        </is>
      </c>
      <c r="K27" s="5" t="inlineStr">
        <is>
          <t>TextGrid 열기</t>
        </is>
      </c>
      <c r="L27" s="5" t="inlineStr">
        <is>
          <t>CSV 열기</t>
        </is>
      </c>
      <c r="M27" s="5" t="inlineStr">
        <is>
          <t>LAB 열기</t>
        </is>
      </c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7" t="inlineStr"/>
      <c r="X27" s="6" t="inlineStr"/>
      <c r="Y27" s="8" t="n"/>
      <c r="Z27" s="9">
        <f>IF(COUNTA(N27:U27)=8,"완료","미완료")</f>
        <v/>
      </c>
      <c r="AA27" s="4" t="inlineStr">
        <is>
          <t>SDRW2200001237.1</t>
        </is>
      </c>
      <c r="AB27" s="4" t="inlineStr">
        <is>
          <t>SD2201781 | SD2201782</t>
        </is>
      </c>
      <c r="AC27" s="4" t="inlineStr">
        <is>
          <t>form_rule_prediction</t>
        </is>
      </c>
      <c r="AD27" s="4" t="inlineStr"/>
      <c r="AE27" s="4" t="inlineStr">
        <is>
          <t>all_lexical_slots</t>
        </is>
      </c>
      <c r="AF27" s="4" t="inlineStr">
        <is>
          <t>all_lexical_slots</t>
        </is>
      </c>
      <c r="AG27" s="4" t="n">
        <v>27</v>
      </c>
    </row>
    <row r="28" ht="43" customHeight="1">
      <c r="A28" s="4" t="n">
        <v>27</v>
      </c>
      <c r="B28" s="3" t="inlineStr"/>
      <c r="C28" s="3" t="n">
        <v>2022</v>
      </c>
      <c r="D28" s="3" t="inlineStr">
        <is>
          <t>SDRW2200001570.1.1.280</t>
        </is>
      </c>
      <c r="E28" s="3" t="inlineStr">
        <is>
          <t>SD2202054</t>
        </is>
      </c>
      <c r="F28" s="3" t="inlineStr">
        <is>
          <t>SD2202055</t>
        </is>
      </c>
      <c r="G28" s="3" t="inlineStr">
        <is>
          <t>그렇다고 우리 세금을 낼 수 이 우예</t>
        </is>
      </c>
      <c r="H28" s="3" t="inlineStr">
        <is>
          <t>그렇다고 우리 세금을 낼 수 이 ((우예))</t>
        </is>
      </c>
      <c r="I28" s="3" t="inlineStr">
        <is>
          <t>그러타고 우리 세그믈 낼 수 이 우예</t>
        </is>
      </c>
      <c r="J28" s="5" t="inlineStr">
        <is>
          <t>WAV 열기</t>
        </is>
      </c>
      <c r="K28" s="5" t="inlineStr">
        <is>
          <t>TextGrid 열기</t>
        </is>
      </c>
      <c r="L28" s="5" t="inlineStr">
        <is>
          <t>CSV 열기</t>
        </is>
      </c>
      <c r="M28" s="5" t="inlineStr">
        <is>
          <t>LAB 열기</t>
        </is>
      </c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7" t="inlineStr"/>
      <c r="X28" s="6" t="inlineStr"/>
      <c r="Y28" s="8" t="n"/>
      <c r="Z28" s="9">
        <f>IF(COUNTA(N28:U28)=8,"완료","미완료")</f>
        <v/>
      </c>
      <c r="AA28" s="4" t="inlineStr">
        <is>
          <t>SDRW2200001570.1</t>
        </is>
      </c>
      <c r="AB28" s="4" t="inlineStr">
        <is>
          <t>SD2202054 | SD2202055</t>
        </is>
      </c>
      <c r="AC28" s="4" t="inlineStr">
        <is>
          <t>form_rule_prediction</t>
        </is>
      </c>
      <c r="AD28" s="4" t="inlineStr"/>
      <c r="AE28" s="4" t="inlineStr">
        <is>
          <t>labeled_word_slots</t>
        </is>
      </c>
      <c r="AF28" s="4" t="inlineStr">
        <is>
          <t>labeled_word_slots</t>
        </is>
      </c>
      <c r="AG28" s="4" t="n">
        <v>28</v>
      </c>
    </row>
    <row r="29" ht="43" customHeight="1">
      <c r="A29" s="4" t="n">
        <v>28</v>
      </c>
      <c r="B29" s="3" t="inlineStr"/>
      <c r="C29" s="3" t="n">
        <v>2022</v>
      </c>
      <c r="D29" s="3" t="inlineStr">
        <is>
          <t>SDRW2200001570.1.1.313</t>
        </is>
      </c>
      <c r="E29" s="3" t="inlineStr">
        <is>
          <t>SD2202054</t>
        </is>
      </c>
      <c r="F29" s="3" t="inlineStr">
        <is>
          <t>SD2202055</t>
        </is>
      </c>
      <c r="G29" s="3" t="inlineStr">
        <is>
          <t>일단 입양이 돼 가지고</t>
        </is>
      </c>
      <c r="H29" s="3" t="inlineStr">
        <is>
          <t>일단 입양이 돼 가지구</t>
        </is>
      </c>
      <c r="I29" s="3" t="inlineStr">
        <is>
          <t>일단 이뱡이 돼 가지고</t>
        </is>
      </c>
      <c r="J29" s="5" t="inlineStr">
        <is>
          <t>WAV 열기</t>
        </is>
      </c>
      <c r="K29" s="5" t="inlineStr">
        <is>
          <t>TextGrid 열기</t>
        </is>
      </c>
      <c r="L29" s="5" t="inlineStr">
        <is>
          <t>CSV 열기</t>
        </is>
      </c>
      <c r="M29" s="5" t="inlineStr">
        <is>
          <t>LAB 열기</t>
        </is>
      </c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7" t="inlineStr"/>
      <c r="X29" s="6" t="inlineStr"/>
      <c r="Y29" s="8" t="n"/>
      <c r="Z29" s="9">
        <f>IF(COUNTA(N29:U29)=8,"완료","미완료")</f>
        <v/>
      </c>
      <c r="AA29" s="4" t="inlineStr">
        <is>
          <t>SDRW2200001570.1</t>
        </is>
      </c>
      <c r="AB29" s="4" t="inlineStr">
        <is>
          <t>SD2202054 | SD2202055</t>
        </is>
      </c>
      <c r="AC29" s="4" t="inlineStr">
        <is>
          <t>form_rule_prediction</t>
        </is>
      </c>
      <c r="AD29" s="4" t="inlineStr"/>
      <c r="AE29" s="4" t="inlineStr">
        <is>
          <t>all_lexical_slots</t>
        </is>
      </c>
      <c r="AF29" s="4" t="inlineStr">
        <is>
          <t>all_lexical_slots</t>
        </is>
      </c>
      <c r="AG29" s="4" t="n">
        <v>29</v>
      </c>
    </row>
    <row r="30" ht="43" customHeight="1">
      <c r="A30" s="4" t="n">
        <v>29</v>
      </c>
      <c r="B30" s="3" t="inlineStr"/>
      <c r="C30" s="3" t="n">
        <v>2022</v>
      </c>
      <c r="D30" s="3" t="inlineStr">
        <is>
          <t>SDRW2200002341.1.1.85</t>
        </is>
      </c>
      <c r="E30" s="3" t="inlineStr">
        <is>
          <t>SD2202257</t>
        </is>
      </c>
      <c r="F30" s="3" t="inlineStr">
        <is>
          <t>SD2202258</t>
        </is>
      </c>
      <c r="G30" s="3" t="inlineStr">
        <is>
          <t>옛날 생각하면 참 빨리 놀았는데 그렇죠?</t>
        </is>
      </c>
      <c r="H30" s="3" t="inlineStr">
        <is>
          <t>옛날 생각하면 참 빨리 놀았는데 그쵸?</t>
        </is>
      </c>
      <c r="I30" s="3" t="inlineStr">
        <is>
          <t>옌날 생가카면 참 빨리 노란는데 그러쵸</t>
        </is>
      </c>
      <c r="J30" s="5" t="inlineStr">
        <is>
          <t>WAV 열기</t>
        </is>
      </c>
      <c r="K30" s="5" t="inlineStr">
        <is>
          <t>TextGrid 열기</t>
        </is>
      </c>
      <c r="L30" s="5" t="inlineStr">
        <is>
          <t>CSV 열기</t>
        </is>
      </c>
      <c r="M30" s="5" t="inlineStr">
        <is>
          <t>LAB 열기</t>
        </is>
      </c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7" t="inlineStr"/>
      <c r="X30" s="6" t="inlineStr"/>
      <c r="Y30" s="8" t="n"/>
      <c r="Z30" s="9">
        <f>IF(COUNTA(N30:U30)=8,"완료","미완료")</f>
        <v/>
      </c>
      <c r="AA30" s="4" t="inlineStr">
        <is>
          <t>SDRW2200002341.1</t>
        </is>
      </c>
      <c r="AB30" s="4" t="inlineStr">
        <is>
          <t>SD2202257 | SD2202258</t>
        </is>
      </c>
      <c r="AC30" s="4" t="inlineStr">
        <is>
          <t>form_rule_prediction</t>
        </is>
      </c>
      <c r="AD30" s="4" t="inlineStr"/>
      <c r="AE30" s="4" t="inlineStr">
        <is>
          <t>labeled_word_slots</t>
        </is>
      </c>
      <c r="AF30" s="4" t="inlineStr">
        <is>
          <t>labeled_word_slots</t>
        </is>
      </c>
      <c r="AG30" s="4" t="n">
        <v>30</v>
      </c>
    </row>
    <row r="31" ht="43" customHeight="1">
      <c r="A31" s="4" t="n">
        <v>30</v>
      </c>
      <c r="B31" s="3" t="inlineStr"/>
      <c r="C31" s="3" t="n">
        <v>2022</v>
      </c>
      <c r="D31" s="3" t="inlineStr">
        <is>
          <t>SDRW2200002341.1.1.13</t>
        </is>
      </c>
      <c r="E31" s="3" t="inlineStr">
        <is>
          <t>SD2202257</t>
        </is>
      </c>
      <c r="F31" s="3" t="inlineStr">
        <is>
          <t>SD2202258</t>
        </is>
      </c>
      <c r="G31" s="3" t="inlineStr">
        <is>
          <t>그렇죠. 이사하고 나서 그 도로 주변에 있는 가게들이</t>
        </is>
      </c>
      <c r="H31" s="3" t="inlineStr">
        <is>
          <t>그렇죠. 이사하고 나서 그 도로 주변에 있는 가게들이</t>
        </is>
      </c>
      <c r="I31" s="3" t="inlineStr">
        <is>
          <t>그러쵸 이사하고 나서 그 도로 주벼네 인는 가게드리</t>
        </is>
      </c>
      <c r="J31" s="5" t="inlineStr">
        <is>
          <t>WAV 열기</t>
        </is>
      </c>
      <c r="K31" s="5" t="inlineStr">
        <is>
          <t>TextGrid 열기</t>
        </is>
      </c>
      <c r="L31" s="5" t="inlineStr">
        <is>
          <t>CSV 열기</t>
        </is>
      </c>
      <c r="M31" s="5" t="inlineStr">
        <is>
          <t>LAB 열기</t>
        </is>
      </c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7" t="inlineStr"/>
      <c r="X31" s="6" t="inlineStr"/>
      <c r="Y31" s="8" t="n"/>
      <c r="Z31" s="9">
        <f>IF(COUNTA(N31:U31)=8,"완료","미완료")</f>
        <v/>
      </c>
      <c r="AA31" s="4" t="inlineStr">
        <is>
          <t>SDRW2200002341.1</t>
        </is>
      </c>
      <c r="AB31" s="4" t="inlineStr">
        <is>
          <t>SD2202257 | SD2202258</t>
        </is>
      </c>
      <c r="AC31" s="4" t="inlineStr">
        <is>
          <t>form_rule_prediction</t>
        </is>
      </c>
      <c r="AD31" s="4" t="inlineStr"/>
      <c r="AE31" s="4" t="inlineStr">
        <is>
          <t>labeled_word_slots</t>
        </is>
      </c>
      <c r="AF31" s="4" t="inlineStr">
        <is>
          <t>labeled_word_slots</t>
        </is>
      </c>
      <c r="AG31" s="4" t="n">
        <v>31</v>
      </c>
    </row>
    <row r="32" ht="43" customHeight="1">
      <c r="A32" s="4" t="n">
        <v>31</v>
      </c>
      <c r="B32" s="3" t="inlineStr"/>
      <c r="C32" s="3" t="n">
        <v>2023</v>
      </c>
      <c r="D32" s="3" t="inlineStr">
        <is>
          <t>SDRW2300000901.1.1.177</t>
        </is>
      </c>
      <c r="E32" s="3" t="inlineStr">
        <is>
          <t>SD2300956</t>
        </is>
      </c>
      <c r="F32" s="3" t="inlineStr">
        <is>
          <t>SD2300957</t>
        </is>
      </c>
      <c r="G32" s="3" t="inlineStr">
        <is>
          <t>나는</t>
        </is>
      </c>
      <c r="H32" s="3" t="inlineStr">
        <is>
          <t>나는</t>
        </is>
      </c>
      <c r="I32" s="3" t="inlineStr">
        <is>
          <t>나는</t>
        </is>
      </c>
      <c r="J32" s="5" t="inlineStr">
        <is>
          <t>WAV 열기</t>
        </is>
      </c>
      <c r="K32" s="5" t="inlineStr">
        <is>
          <t>TextGrid 열기</t>
        </is>
      </c>
      <c r="L32" s="5" t="inlineStr">
        <is>
          <t>CSV 열기</t>
        </is>
      </c>
      <c r="M32" s="5" t="inlineStr">
        <is>
          <t>LAB 열기</t>
        </is>
      </c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7" t="inlineStr"/>
      <c r="X32" s="6" t="inlineStr"/>
      <c r="Y32" s="8" t="n"/>
      <c r="Z32" s="9">
        <f>IF(COUNTA(N32:U32)=8,"완료","미완료")</f>
        <v/>
      </c>
      <c r="AA32" s="4" t="inlineStr">
        <is>
          <t>SDRW2300000901.1</t>
        </is>
      </c>
      <c r="AB32" s="4" t="inlineStr">
        <is>
          <t>SD2300956 | SD2300957</t>
        </is>
      </c>
      <c r="AC32" s="4" t="inlineStr">
        <is>
          <t>form_rule_prediction</t>
        </is>
      </c>
      <c r="AD32" s="4" t="inlineStr"/>
      <c r="AE32" s="4" t="inlineStr">
        <is>
          <t>all_lexical_slots</t>
        </is>
      </c>
      <c r="AF32" s="4" t="inlineStr">
        <is>
          <t>all_lexical_slots</t>
        </is>
      </c>
      <c r="AG32" s="4" t="n">
        <v>32</v>
      </c>
    </row>
    <row r="33" ht="43" customHeight="1">
      <c r="A33" s="4" t="n">
        <v>32</v>
      </c>
      <c r="B33" s="3" t="inlineStr"/>
      <c r="C33" s="3" t="n">
        <v>2023</v>
      </c>
      <c r="D33" s="3" t="inlineStr">
        <is>
          <t>SDRW2300000901.1.1.346</t>
        </is>
      </c>
      <c r="E33" s="3" t="inlineStr">
        <is>
          <t>SD2300956</t>
        </is>
      </c>
      <c r="F33" s="3" t="inlineStr">
        <is>
          <t>SD2300957</t>
        </is>
      </c>
      <c r="G33" s="3" t="inlineStr">
        <is>
          <t>좋은 거 같아.</t>
        </is>
      </c>
      <c r="H33" s="3" t="inlineStr">
        <is>
          <t>좋은 거 같애.</t>
        </is>
      </c>
      <c r="I33" s="3" t="inlineStr">
        <is>
          <t>조은 거 가타</t>
        </is>
      </c>
      <c r="J33" s="5" t="inlineStr">
        <is>
          <t>WAV 열기</t>
        </is>
      </c>
      <c r="K33" s="5" t="inlineStr">
        <is>
          <t>TextGrid 열기</t>
        </is>
      </c>
      <c r="L33" s="5" t="inlineStr">
        <is>
          <t>CSV 열기</t>
        </is>
      </c>
      <c r="M33" s="5" t="inlineStr">
        <is>
          <t>LAB 열기</t>
        </is>
      </c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7" t="inlineStr"/>
      <c r="X33" s="6" t="inlineStr"/>
      <c r="Y33" s="8" t="n"/>
      <c r="Z33" s="9">
        <f>IF(COUNTA(N33:U33)=8,"완료","미완료")</f>
        <v/>
      </c>
      <c r="AA33" s="4" t="inlineStr">
        <is>
          <t>SDRW2300000901.1</t>
        </is>
      </c>
      <c r="AB33" s="4" t="inlineStr">
        <is>
          <t>SD2300956 | SD2300957</t>
        </is>
      </c>
      <c r="AC33" s="4" t="inlineStr">
        <is>
          <t>form_rule_prediction</t>
        </is>
      </c>
      <c r="AD33" s="4" t="inlineStr"/>
      <c r="AE33" s="4" t="inlineStr">
        <is>
          <t>all_lexical_slots</t>
        </is>
      </c>
      <c r="AF33" s="4" t="inlineStr">
        <is>
          <t>all_lexical_slots</t>
        </is>
      </c>
      <c r="AG33" s="4" t="n">
        <v>33</v>
      </c>
    </row>
    <row r="34" ht="43" customHeight="1">
      <c r="A34" s="4" t="n">
        <v>33</v>
      </c>
      <c r="B34" s="3" t="inlineStr"/>
      <c r="C34" s="3" t="n">
        <v>2023</v>
      </c>
      <c r="D34" s="3" t="inlineStr">
        <is>
          <t>SDRW2300001301.1.1.142</t>
        </is>
      </c>
      <c r="E34" s="3" t="inlineStr">
        <is>
          <t>SD2301436</t>
        </is>
      </c>
      <c r="F34" s="3" t="inlineStr">
        <is>
          <t>SD2301434 | SD2301435 | SD2301437</t>
        </is>
      </c>
      <c r="G34" s="3" t="inlineStr">
        <is>
          <t>선생님은 이직할 때 꿀팁이 있으신가요?</t>
        </is>
      </c>
      <c r="H34" s="3" t="inlineStr">
        <is>
          <t>선생님은 이직할 때 꿀팁이 있으신가요? {laughing}</t>
        </is>
      </c>
      <c r="I34" s="3" t="inlineStr">
        <is>
          <t>선생니믄 이지칼 때 꿀티비 이쓰신가요</t>
        </is>
      </c>
      <c r="J34" s="5" t="inlineStr">
        <is>
          <t>WAV 열기</t>
        </is>
      </c>
      <c r="K34" s="5" t="inlineStr">
        <is>
          <t>TextGrid 열기</t>
        </is>
      </c>
      <c r="L34" s="5" t="inlineStr">
        <is>
          <t>CSV 열기</t>
        </is>
      </c>
      <c r="M34" s="5" t="inlineStr">
        <is>
          <t>LAB 열기</t>
        </is>
      </c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7" t="inlineStr"/>
      <c r="X34" s="6" t="inlineStr"/>
      <c r="Y34" s="8" t="n"/>
      <c r="Z34" s="9">
        <f>IF(COUNTA(N34:U34)=8,"완료","미완료")</f>
        <v/>
      </c>
      <c r="AA34" s="4" t="inlineStr">
        <is>
          <t>SDRW2300001301.1</t>
        </is>
      </c>
      <c r="AB34" s="4" t="inlineStr">
        <is>
          <t>SD2301434 | SD2301435 | SD2301436 | SD2301437</t>
        </is>
      </c>
      <c r="AC34" s="4" t="inlineStr">
        <is>
          <t>form_rule_prediction</t>
        </is>
      </c>
      <c r="AD34" s="4" t="inlineStr"/>
      <c r="AE34" s="4" t="inlineStr">
        <is>
          <t>all_lexical_slots</t>
        </is>
      </c>
      <c r="AF34" s="4" t="inlineStr">
        <is>
          <t>labeled_word_slots</t>
        </is>
      </c>
      <c r="AG34" s="4" t="n">
        <v>34</v>
      </c>
    </row>
    <row r="35" ht="43" customHeight="1">
      <c r="A35" s="4" t="n">
        <v>34</v>
      </c>
      <c r="B35" s="3" t="inlineStr"/>
      <c r="C35" s="3" t="n">
        <v>2023</v>
      </c>
      <c r="D35" s="3" t="inlineStr">
        <is>
          <t>SDRW2300001301.1.1.176</t>
        </is>
      </c>
      <c r="E35" s="3" t="inlineStr">
        <is>
          <t>SD2301436</t>
        </is>
      </c>
      <c r="F35" s="3" t="inlineStr">
        <is>
          <t>SD2301434 | SD2301435 | SD2301437</t>
        </is>
      </c>
      <c r="G35" s="3" t="inlineStr">
        <is>
          <t>프로그램 뭐가 중요한지 알아보고 있습니다.</t>
        </is>
      </c>
      <c r="H35" s="3" t="inlineStr">
        <is>
          <t>프로그램 뭐가 중요한지 알아보고 있습니다. {laughing}</t>
        </is>
      </c>
      <c r="I35" s="3" t="inlineStr">
        <is>
          <t>프로그램 뭐가 중요한지 아라보고 읻씀니다</t>
        </is>
      </c>
      <c r="J35" s="5" t="inlineStr">
        <is>
          <t>WAV 열기</t>
        </is>
      </c>
      <c r="K35" s="5" t="inlineStr">
        <is>
          <t>TextGrid 열기</t>
        </is>
      </c>
      <c r="L35" s="5" t="inlineStr">
        <is>
          <t>CSV 열기</t>
        </is>
      </c>
      <c r="M35" s="5" t="inlineStr">
        <is>
          <t>LAB 열기</t>
        </is>
      </c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7" t="inlineStr"/>
      <c r="X35" s="6" t="inlineStr"/>
      <c r="Y35" s="8" t="n"/>
      <c r="Z35" s="9">
        <f>IF(COUNTA(N35:U35)=8,"완료","미완료")</f>
        <v/>
      </c>
      <c r="AA35" s="4" t="inlineStr">
        <is>
          <t>SDRW2300001301.1</t>
        </is>
      </c>
      <c r="AB35" s="4" t="inlineStr">
        <is>
          <t>SD2301434 | SD2301435 | SD2301436 | SD2301437</t>
        </is>
      </c>
      <c r="AC35" s="4" t="inlineStr">
        <is>
          <t>form_rule_prediction</t>
        </is>
      </c>
      <c r="AD35" s="4" t="inlineStr"/>
      <c r="AE35" s="4" t="inlineStr">
        <is>
          <t>all_lexical_slots</t>
        </is>
      </c>
      <c r="AF35" s="4" t="inlineStr">
        <is>
          <t>labeled_word_slots</t>
        </is>
      </c>
      <c r="AG35" s="4" t="n">
        <v>35</v>
      </c>
    </row>
    <row r="36" ht="43" customHeight="1">
      <c r="A36" s="4" t="n">
        <v>35</v>
      </c>
      <c r="B36" s="3" t="inlineStr"/>
      <c r="C36" s="3" t="n">
        <v>2023</v>
      </c>
      <c r="D36" s="3" t="inlineStr">
        <is>
          <t>SDRW2300001859.1.1.109</t>
        </is>
      </c>
      <c r="E36" s="3" t="inlineStr">
        <is>
          <t>SD2301983</t>
        </is>
      </c>
      <c r="F36" s="3" t="inlineStr">
        <is>
          <t>SD2301982</t>
        </is>
      </c>
      <c r="G36" s="3" t="inlineStr">
        <is>
          <t>어떻게 두시고 투자를 하시는 타입이신가요?</t>
        </is>
      </c>
      <c r="H36" s="3" t="inlineStr">
        <is>
          <t>어떻게 두시고 투자를 하시는 타입이신가요?</t>
        </is>
      </c>
      <c r="I36" s="3" t="inlineStr">
        <is>
          <t>어떠케 두시고 투자를 하시는 타이비신가요</t>
        </is>
      </c>
      <c r="J36" s="5" t="inlineStr">
        <is>
          <t>WAV 열기</t>
        </is>
      </c>
      <c r="K36" s="5" t="inlineStr">
        <is>
          <t>TextGrid 열기</t>
        </is>
      </c>
      <c r="L36" s="5" t="inlineStr">
        <is>
          <t>CSV 열기</t>
        </is>
      </c>
      <c r="M36" s="5" t="inlineStr">
        <is>
          <t>LAB 열기</t>
        </is>
      </c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7" t="inlineStr"/>
      <c r="X36" s="6" t="inlineStr"/>
      <c r="Y36" s="8" t="n"/>
      <c r="Z36" s="9">
        <f>IF(COUNTA(N36:U36)=8,"완료","미완료")</f>
        <v/>
      </c>
      <c r="AA36" s="4" t="inlineStr">
        <is>
          <t>SDRW2300001859.1</t>
        </is>
      </c>
      <c r="AB36" s="4" t="inlineStr">
        <is>
          <t>SD2301982 | SD2301983</t>
        </is>
      </c>
      <c r="AC36" s="4" t="inlineStr">
        <is>
          <t>form_rule_prediction</t>
        </is>
      </c>
      <c r="AD36" s="4" t="inlineStr"/>
      <c r="AE36" s="4" t="inlineStr">
        <is>
          <t>labeled_word_slots</t>
        </is>
      </c>
      <c r="AF36" s="4" t="inlineStr">
        <is>
          <t>labeled_word_slots</t>
        </is>
      </c>
      <c r="AG36" s="4" t="n">
        <v>36</v>
      </c>
    </row>
    <row r="37" ht="43" customHeight="1">
      <c r="A37" s="4" t="n">
        <v>36</v>
      </c>
      <c r="B37" s="3" t="inlineStr"/>
      <c r="C37" s="3" t="n">
        <v>2023</v>
      </c>
      <c r="D37" s="3" t="inlineStr">
        <is>
          <t>SDRW2300001859.1.1.108</t>
        </is>
      </c>
      <c r="E37" s="3" t="inlineStr">
        <is>
          <t>SD2301983</t>
        </is>
      </c>
      <c r="F37" s="3" t="inlineStr">
        <is>
          <t>SD2301982</t>
        </is>
      </c>
      <c r="G37" s="3" t="inlineStr">
        <is>
          <t>장기 단기 이런 기간을</t>
        </is>
      </c>
      <c r="H37" s="3" t="inlineStr">
        <is>
          <t>장기 단기 이런 {laughing} 기간을</t>
        </is>
      </c>
      <c r="I37" s="3" t="inlineStr">
        <is>
          <t>장기 단기 이런 기가늘</t>
        </is>
      </c>
      <c r="J37" s="5" t="inlineStr">
        <is>
          <t>WAV 열기</t>
        </is>
      </c>
      <c r="K37" s="5" t="inlineStr">
        <is>
          <t>TextGrid 열기</t>
        </is>
      </c>
      <c r="L37" s="5" t="inlineStr">
        <is>
          <t>CSV 열기</t>
        </is>
      </c>
      <c r="M37" s="5" t="inlineStr">
        <is>
          <t>LAB 열기</t>
        </is>
      </c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7" t="inlineStr"/>
      <c r="X37" s="6" t="inlineStr"/>
      <c r="Y37" s="8" t="n"/>
      <c r="Z37" s="9">
        <f>IF(COUNTA(N37:U37)=8,"완료","미완료")</f>
        <v/>
      </c>
      <c r="AA37" s="4" t="inlineStr">
        <is>
          <t>SDRW2300001859.1</t>
        </is>
      </c>
      <c r="AB37" s="4" t="inlineStr">
        <is>
          <t>SD2301982 | SD2301983</t>
        </is>
      </c>
      <c r="AC37" s="4" t="inlineStr">
        <is>
          <t>form_rule_prediction</t>
        </is>
      </c>
      <c r="AD37" s="4" t="inlineStr">
        <is>
          <t>original_form: tokens=5, lexical_slots=7, labeled_slots=4</t>
        </is>
      </c>
      <c r="AE37" s="4" t="inlineStr">
        <is>
          <t>utterance_fallback</t>
        </is>
      </c>
      <c r="AF37" s="4" t="inlineStr">
        <is>
          <t>labeled_word_slots</t>
        </is>
      </c>
      <c r="AG37" s="4" t="n">
        <v>37</v>
      </c>
    </row>
    <row r="38" ht="43" customHeight="1">
      <c r="A38" s="10" t="n">
        <v>37</v>
      </c>
      <c r="B38" s="11" t="inlineStr">
        <is>
          <t>이전 검토에서 찾기 어려웠던 발화</t>
        </is>
      </c>
      <c r="C38" s="11" t="n">
        <v>2023</v>
      </c>
      <c r="D38" s="11" t="inlineStr">
        <is>
          <t>SDRW2300001955.1.1.164</t>
        </is>
      </c>
      <c r="E38" s="11" t="inlineStr">
        <is>
          <t>SD2302149</t>
        </is>
      </c>
      <c r="F38" s="11" t="inlineStr">
        <is>
          <t>SD2302148</t>
        </is>
      </c>
      <c r="G38" s="11" t="inlineStr">
        <is>
          <t>어 접근하려고 좀 노력을 하고 있습니다.</t>
        </is>
      </c>
      <c r="H38" s="11" t="inlineStr">
        <is>
          <t>어~ 접근할려고 쫌 노력을 하고 있습니다.</t>
        </is>
      </c>
      <c r="I38" s="11" t="inlineStr">
        <is>
          <t>어 접끈하려고 좀 노려글 하고 읻씀니다</t>
        </is>
      </c>
      <c r="J38" s="12" t="inlineStr">
        <is>
          <t>WAV 열기</t>
        </is>
      </c>
      <c r="K38" s="12" t="inlineStr">
        <is>
          <t>TextGrid 열기</t>
        </is>
      </c>
      <c r="L38" s="12" t="inlineStr">
        <is>
          <t>CSV 열기</t>
        </is>
      </c>
      <c r="M38" s="12" t="inlineStr">
        <is>
          <t>LAB 열기</t>
        </is>
      </c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7" t="inlineStr"/>
      <c r="X38" s="6" t="inlineStr"/>
      <c r="Y38" s="8" t="n"/>
      <c r="Z38" s="9">
        <f>IF(COUNTA(N38:U38)=8,"완료","미완료")</f>
        <v/>
      </c>
      <c r="AA38" s="4" t="inlineStr">
        <is>
          <t>SDRW2300001955.1</t>
        </is>
      </c>
      <c r="AB38" s="4" t="inlineStr">
        <is>
          <t>SD2302148 | SD2302149</t>
        </is>
      </c>
      <c r="AC38" s="4" t="inlineStr">
        <is>
          <t>form_rule_prediction</t>
        </is>
      </c>
      <c r="AD38" s="4" t="inlineStr"/>
      <c r="AE38" s="4" t="inlineStr">
        <is>
          <t>labeled_word_slots</t>
        </is>
      </c>
      <c r="AF38" s="4" t="inlineStr">
        <is>
          <t>labeled_word_slots</t>
        </is>
      </c>
      <c r="AG38" s="4" t="n">
        <v>38</v>
      </c>
    </row>
    <row r="39" ht="43" customHeight="1">
      <c r="A39" s="4" t="n">
        <v>38</v>
      </c>
      <c r="B39" s="3" t="inlineStr"/>
      <c r="C39" s="3" t="n">
        <v>2023</v>
      </c>
      <c r="D39" s="3" t="inlineStr">
        <is>
          <t>SDRW2300001955.1.1.11</t>
        </is>
      </c>
      <c r="E39" s="3" t="inlineStr">
        <is>
          <t>SD2302149</t>
        </is>
      </c>
      <c r="F39" s="3" t="inlineStr">
        <is>
          <t>SD2302148</t>
        </is>
      </c>
      <c r="G39" s="3" t="inlineStr">
        <is>
          <t>어 월세 전세 이런 뭐 매물들을 다루다 보니까</t>
        </is>
      </c>
      <c r="H39" s="3" t="inlineStr">
        <is>
          <t>어~ 월세 전세 이런 뭐~ 매물들을 다루다 보니까</t>
        </is>
      </c>
      <c r="I39" s="3" t="inlineStr">
        <is>
          <t>어 월세 전세 이런 뭐 매물드를 다루다 보니까</t>
        </is>
      </c>
      <c r="J39" s="5" t="inlineStr">
        <is>
          <t>WAV 열기</t>
        </is>
      </c>
      <c r="K39" s="5" t="inlineStr">
        <is>
          <t>TextGrid 열기</t>
        </is>
      </c>
      <c r="L39" s="5" t="inlineStr">
        <is>
          <t>CSV 열기</t>
        </is>
      </c>
      <c r="M39" s="5" t="inlineStr">
        <is>
          <t>LAB 열기</t>
        </is>
      </c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7" t="inlineStr"/>
      <c r="X39" s="6" t="inlineStr"/>
      <c r="Y39" s="8" t="n"/>
      <c r="Z39" s="9">
        <f>IF(COUNTA(N39:U39)=8,"완료","미완료")</f>
        <v/>
      </c>
      <c r="AA39" s="4" t="inlineStr">
        <is>
          <t>SDRW2300001955.1</t>
        </is>
      </c>
      <c r="AB39" s="4" t="inlineStr">
        <is>
          <t>SD2302148 | SD2302149</t>
        </is>
      </c>
      <c r="AC39" s="4" t="inlineStr">
        <is>
          <t>form_rule_prediction</t>
        </is>
      </c>
      <c r="AD39" s="4" t="inlineStr"/>
      <c r="AE39" s="4" t="inlineStr">
        <is>
          <t>labeled_word_slots</t>
        </is>
      </c>
      <c r="AF39" s="4" t="inlineStr">
        <is>
          <t>labeled_word_slots</t>
        </is>
      </c>
      <c r="AG39" s="4" t="n">
        <v>39</v>
      </c>
    </row>
    <row r="40" ht="43" customHeight="1">
      <c r="A40" s="10" t="n">
        <v>39</v>
      </c>
      <c r="B40" s="11" t="inlineStr">
        <is>
          <t>숫자 1/일 발음 참조·화자 정보 확인</t>
        </is>
      </c>
      <c r="C40" s="11" t="n">
        <v>2023</v>
      </c>
      <c r="D40" s="11" t="inlineStr">
        <is>
          <t>SDRW2300000891.1.1.331</t>
        </is>
      </c>
      <c r="E40" s="11" t="inlineStr">
        <is>
          <t>SD2310934</t>
        </is>
      </c>
      <c r="F40" s="11" t="inlineStr">
        <is>
          <t>SD2300935</t>
        </is>
      </c>
      <c r="G40" s="11" t="inlineStr">
        <is>
          <t>무조건 1층으로 된 집에서 살고 싶어.</t>
        </is>
      </c>
      <c r="H40" s="11" t="inlineStr">
        <is>
          <t>무조건 일 층으로 된 집에서 살고 싶어.</t>
        </is>
      </c>
      <c r="I40" s="11" t="inlineStr">
        <is>
          <t>무조건 일 층으로 된 지베서 살고 시퍼</t>
        </is>
      </c>
      <c r="J40" s="12" t="inlineStr">
        <is>
          <t>WAV 열기</t>
        </is>
      </c>
      <c r="K40" s="12" t="inlineStr">
        <is>
          <t>TextGrid 열기</t>
        </is>
      </c>
      <c r="L40" s="12" t="inlineStr">
        <is>
          <t>CSV 열기</t>
        </is>
      </c>
      <c r="M40" s="12" t="inlineStr">
        <is>
          <t>LAB 열기</t>
        </is>
      </c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7" t="inlineStr"/>
      <c r="X40" s="6" t="inlineStr"/>
      <c r="Y40" s="8" t="n"/>
      <c r="Z40" s="9">
        <f>IF(COUNTA(N40:U40)=8,"완료","미완료")</f>
        <v/>
      </c>
      <c r="AA40" s="4" t="inlineStr">
        <is>
          <t>SDRW2300000891.1</t>
        </is>
      </c>
      <c r="AB40" s="4" t="inlineStr">
        <is>
          <t>SD2300935 | SD2310934</t>
        </is>
      </c>
      <c r="AC40" s="4" t="inlineStr">
        <is>
          <t>original_form_placeholder_resolution</t>
        </is>
      </c>
      <c r="AD40" s="4" t="inlineStr"/>
      <c r="AE40" s="4" t="inlineStr">
        <is>
          <t>all_lexical_slots</t>
        </is>
      </c>
      <c r="AF40" s="4" t="inlineStr">
        <is>
          <t>all_lexical_slots</t>
        </is>
      </c>
      <c r="AG40" s="4" t="n">
        <v>40</v>
      </c>
    </row>
    <row r="41" ht="43" customHeight="1">
      <c r="A41" s="4" t="n">
        <v>40</v>
      </c>
      <c r="B41" s="3" t="inlineStr"/>
      <c r="C41" s="3" t="n">
        <v>2023</v>
      </c>
      <c r="D41" s="3" t="inlineStr">
        <is>
          <t>SDRW2300000891.1.1.229</t>
        </is>
      </c>
      <c r="E41" s="3" t="inlineStr">
        <is>
          <t>SD2310934</t>
        </is>
      </c>
      <c r="F41" s="3" t="inlineStr">
        <is>
          <t>SD2300935</t>
        </is>
      </c>
      <c r="G41" s="3" t="inlineStr">
        <is>
          <t>가지고 싶은 소품이나 아니면 이런 걸 놓을 공간이 있으면 좋겠다.</t>
        </is>
      </c>
      <c r="H41" s="3" t="inlineStr">
        <is>
          <t>가지고 싶은 소품이나 아니면 이런 걸 놓을 공간이 있으면 좋겠다.</t>
        </is>
      </c>
      <c r="I41" s="3" t="inlineStr">
        <is>
          <t>가지고 시픈 소푸미나 아니면 이런 걸 노을 공가니 이쓰면 조켇따</t>
        </is>
      </c>
      <c r="J41" s="5" t="inlineStr">
        <is>
          <t>WAV 열기</t>
        </is>
      </c>
      <c r="K41" s="5" t="inlineStr">
        <is>
          <t>TextGrid 열기</t>
        </is>
      </c>
      <c r="L41" s="5" t="inlineStr">
        <is>
          <t>CSV 열기</t>
        </is>
      </c>
      <c r="M41" s="5" t="inlineStr">
        <is>
          <t>LAB 열기</t>
        </is>
      </c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7" t="inlineStr"/>
      <c r="X41" s="6" t="inlineStr"/>
      <c r="Y41" s="8" t="n"/>
      <c r="Z41" s="9">
        <f>IF(COUNTA(N41:U41)=8,"완료","미완료")</f>
        <v/>
      </c>
      <c r="AA41" s="4" t="inlineStr">
        <is>
          <t>SDRW2300000891.1</t>
        </is>
      </c>
      <c r="AB41" s="4" t="inlineStr">
        <is>
          <t>SD2300935 | SD2310934</t>
        </is>
      </c>
      <c r="AC41" s="4" t="inlineStr">
        <is>
          <t>form_rule_prediction</t>
        </is>
      </c>
      <c r="AD41" s="4" t="inlineStr"/>
      <c r="AE41" s="4" t="inlineStr">
        <is>
          <t>labeled_word_slots</t>
        </is>
      </c>
      <c r="AF41" s="4" t="inlineStr">
        <is>
          <t>labeled_word_slots</t>
        </is>
      </c>
      <c r="AG41" s="4" t="n">
        <v>41</v>
      </c>
    </row>
    <row r="42" ht="43" customHeight="1">
      <c r="A42" s="4" t="n">
        <v>41</v>
      </c>
      <c r="B42" s="3" t="inlineStr"/>
      <c r="C42" s="3" t="n">
        <v>2024</v>
      </c>
      <c r="D42" s="3" t="inlineStr">
        <is>
          <t>SDRW2400001098.1.1.64</t>
        </is>
      </c>
      <c r="E42" s="3" t="inlineStr">
        <is>
          <t>SD2400795</t>
        </is>
      </c>
      <c r="F42" s="3" t="inlineStr">
        <is>
          <t>SD2400796</t>
        </is>
      </c>
      <c r="G42" s="3" t="inlineStr">
        <is>
          <t>그 요즘 택배 중에 그렇게 어</t>
        </is>
      </c>
      <c r="H42" s="3" t="inlineStr">
        <is>
          <t>그 요즘 택배 중에 그릏게 어~</t>
        </is>
      </c>
      <c r="I42" s="3" t="inlineStr">
        <is>
          <t>그 요즘 택빼 중에 그러케 어</t>
        </is>
      </c>
      <c r="J42" s="5" t="inlineStr">
        <is>
          <t>WAV 열기</t>
        </is>
      </c>
      <c r="K42" s="5" t="inlineStr">
        <is>
          <t>TextGrid 열기</t>
        </is>
      </c>
      <c r="L42" s="5" t="inlineStr">
        <is>
          <t>CSV 열기</t>
        </is>
      </c>
      <c r="M42" s="5" t="inlineStr">
        <is>
          <t>LAB 열기</t>
        </is>
      </c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7" t="inlineStr"/>
      <c r="X42" s="6" t="inlineStr"/>
      <c r="Y42" s="8" t="n"/>
      <c r="Z42" s="9">
        <f>IF(COUNTA(N42:U42)=8,"완료","미완료")</f>
        <v/>
      </c>
      <c r="AA42" s="4" t="inlineStr">
        <is>
          <t>SDRW2400001098.1</t>
        </is>
      </c>
      <c r="AB42" s="4" t="inlineStr">
        <is>
          <t>SD2400795 | SD2400796</t>
        </is>
      </c>
      <c r="AC42" s="4" t="inlineStr">
        <is>
          <t>form_rule_prediction</t>
        </is>
      </c>
      <c r="AD42" s="4" t="inlineStr"/>
      <c r="AE42" s="4" t="inlineStr">
        <is>
          <t>labeled_word_slots</t>
        </is>
      </c>
      <c r="AF42" s="4" t="inlineStr">
        <is>
          <t>labeled_word_slots</t>
        </is>
      </c>
      <c r="AG42" s="4" t="n">
        <v>42</v>
      </c>
    </row>
    <row r="43" ht="43" customHeight="1">
      <c r="A43" s="4" t="n">
        <v>42</v>
      </c>
      <c r="B43" s="3" t="inlineStr"/>
      <c r="C43" s="3" t="n">
        <v>2024</v>
      </c>
      <c r="D43" s="3" t="inlineStr">
        <is>
          <t>SDRW2400001098.1.1.92</t>
        </is>
      </c>
      <c r="E43" s="3" t="inlineStr">
        <is>
          <t>SD2400795</t>
        </is>
      </c>
      <c r="F43" s="3" t="inlineStr">
        <is>
          <t>SD2400796</t>
        </is>
      </c>
      <c r="G43" s="3" t="inlineStr">
        <is>
          <t>어 그게 이제 어도비에서 제공하는 모든 프로그램을 이용할 수 있는 이제</t>
        </is>
      </c>
      <c r="H43" s="3" t="inlineStr">
        <is>
          <t>어 그게 이제 어도비에서 제공하는 모든 프로그램을 이용할 수 있는 이제</t>
        </is>
      </c>
      <c r="I43" s="3" t="inlineStr">
        <is>
          <t>어 그게 이제 어도비에서 제공하는 모든 프로그래믈 이용할 수 인는 이제</t>
        </is>
      </c>
      <c r="J43" s="5" t="inlineStr">
        <is>
          <t>WAV 열기</t>
        </is>
      </c>
      <c r="K43" s="5" t="inlineStr">
        <is>
          <t>TextGrid 열기</t>
        </is>
      </c>
      <c r="L43" s="5" t="inlineStr">
        <is>
          <t>CSV 열기</t>
        </is>
      </c>
      <c r="M43" s="5" t="inlineStr">
        <is>
          <t>LAB 열기</t>
        </is>
      </c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7" t="inlineStr"/>
      <c r="X43" s="6" t="inlineStr"/>
      <c r="Y43" s="8" t="n"/>
      <c r="Z43" s="9">
        <f>IF(COUNTA(N43:U43)=8,"완료","미완료")</f>
        <v/>
      </c>
      <c r="AA43" s="4" t="inlineStr">
        <is>
          <t>SDRW2400001098.1</t>
        </is>
      </c>
      <c r="AB43" s="4" t="inlineStr">
        <is>
          <t>SD2400795 | SD2400796</t>
        </is>
      </c>
      <c r="AC43" s="4" t="inlineStr">
        <is>
          <t>form_rule_prediction</t>
        </is>
      </c>
      <c r="AD43" s="4" t="inlineStr"/>
      <c r="AE43" s="4" t="inlineStr">
        <is>
          <t>labeled_word_slots</t>
        </is>
      </c>
      <c r="AF43" s="4" t="inlineStr">
        <is>
          <t>labeled_word_slots</t>
        </is>
      </c>
      <c r="AG43" s="4" t="n">
        <v>43</v>
      </c>
    </row>
    <row r="44" ht="43" customHeight="1">
      <c r="A44" s="4" t="n">
        <v>43</v>
      </c>
      <c r="B44" s="3" t="inlineStr"/>
      <c r="C44" s="3" t="n">
        <v>2024</v>
      </c>
      <c r="D44" s="3" t="inlineStr">
        <is>
          <t>SDRW2400000324.1.1.170</t>
        </is>
      </c>
      <c r="E44" s="3" t="inlineStr">
        <is>
          <t>SD2400841</t>
        </is>
      </c>
      <c r="F44" s="3" t="inlineStr">
        <is>
          <t>SD2400839 | SD2400840</t>
        </is>
      </c>
      <c r="G44" s="3" t="inlineStr">
        <is>
          <t>나는 약간 그 스카이 캐슬의 내용 중에서 이제 어떤 한 아이 아이들의 어머니가 아버지에게 이제 큰 음 약간 가정 폭력 비슷한 거를 이제 당하는 장면에서</t>
        </is>
      </c>
      <c r="H44" s="3" t="inlineStr">
        <is>
          <t>나는 약간 그~ 스카이 캐쓸에 내용 중에서 이제 어떤 한 -아이- 아이들에 어머니가 아버지에게 이제 큰 음~ 약간 가정 폭력 비슷한 거를 이제 당하는 장면에서</t>
        </is>
      </c>
      <c r="I44" s="3" t="inlineStr">
        <is>
          <t>나는 약깐 그 스카이 캐스릐 내용 중에서 이제 어떤 한 아이 아이드릐 어머니가 아버지에게 이제 큰 음 약깐 가정 폭력 비스탄 거를 이제 당하는 장며네서</t>
        </is>
      </c>
      <c r="J44" s="5" t="inlineStr">
        <is>
          <t>WAV 열기</t>
        </is>
      </c>
      <c r="K44" s="5" t="inlineStr">
        <is>
          <t>TextGrid 열기</t>
        </is>
      </c>
      <c r="L44" s="5" t="inlineStr">
        <is>
          <t>CSV 열기</t>
        </is>
      </c>
      <c r="M44" s="5" t="inlineStr">
        <is>
          <t>LAB 열기</t>
        </is>
      </c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7" t="inlineStr"/>
      <c r="X44" s="6" t="inlineStr"/>
      <c r="Y44" s="8" t="n"/>
      <c r="Z44" s="9">
        <f>IF(COUNTA(N44:U44)=8,"완료","미완료")</f>
        <v/>
      </c>
      <c r="AA44" s="4" t="inlineStr">
        <is>
          <t>SDRW2400000324.1</t>
        </is>
      </c>
      <c r="AB44" s="4" t="inlineStr">
        <is>
          <t>SD2400839 | SD2400840 | SD2400841</t>
        </is>
      </c>
      <c r="AC44" s="4" t="inlineStr">
        <is>
          <t>form_rule_prediction</t>
        </is>
      </c>
      <c r="AD44" s="4" t="inlineStr"/>
      <c r="AE44" s="4" t="inlineStr">
        <is>
          <t>labeled_word_slots</t>
        </is>
      </c>
      <c r="AF44" s="4" t="inlineStr">
        <is>
          <t>labeled_word_slots</t>
        </is>
      </c>
      <c r="AG44" s="4" t="n">
        <v>44</v>
      </c>
    </row>
    <row r="45" ht="43" customHeight="1">
      <c r="A45" s="4" t="n">
        <v>44</v>
      </c>
      <c r="B45" s="3" t="inlineStr"/>
      <c r="C45" s="3" t="n">
        <v>2024</v>
      </c>
      <c r="D45" s="3" t="inlineStr">
        <is>
          <t>SDRW2400000324.1.1.30</t>
        </is>
      </c>
      <c r="E45" s="3" t="inlineStr">
        <is>
          <t>SD2400841</t>
        </is>
      </c>
      <c r="F45" s="3" t="inlineStr">
        <is>
          <t>SD2400839 | SD2400840</t>
        </is>
      </c>
      <c r="G45" s="3" t="inlineStr">
        <is>
          <t>그것도 해리 포터 작가와 같은 롤랭 롤랭 조인 뭐 이름은 잘 모르겠지만</t>
        </is>
      </c>
      <c r="H45" s="3" t="inlineStr">
        <is>
          <t>그것도 해리 포터 작가와 같은 롤랭 롤랭 조인 뭐~ 이름은 잘 모르겠지만</t>
        </is>
      </c>
      <c r="I45" s="3" t="inlineStr">
        <is>
          <t>그걷또 해리 포터 작까와 가튼 롤랭 롤랭 조인 뭐 이르믄 잘 모르겓찌만</t>
        </is>
      </c>
      <c r="J45" s="5" t="inlineStr">
        <is>
          <t>WAV 열기</t>
        </is>
      </c>
      <c r="K45" s="5" t="inlineStr">
        <is>
          <t>TextGrid 열기</t>
        </is>
      </c>
      <c r="L45" s="5" t="inlineStr">
        <is>
          <t>CSV 열기</t>
        </is>
      </c>
      <c r="M45" s="5" t="inlineStr">
        <is>
          <t>LAB 열기</t>
        </is>
      </c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7" t="inlineStr"/>
      <c r="X45" s="6" t="inlineStr"/>
      <c r="Y45" s="8" t="n"/>
      <c r="Z45" s="9">
        <f>IF(COUNTA(N45:U45)=8,"완료","미완료")</f>
        <v/>
      </c>
      <c r="AA45" s="4" t="inlineStr">
        <is>
          <t>SDRW2400000324.1</t>
        </is>
      </c>
      <c r="AB45" s="4" t="inlineStr">
        <is>
          <t>SD2400839 | SD2400840 | SD2400841</t>
        </is>
      </c>
      <c r="AC45" s="4" t="inlineStr">
        <is>
          <t>form_rule_prediction</t>
        </is>
      </c>
      <c r="AD45" s="4" t="inlineStr"/>
      <c r="AE45" s="4" t="inlineStr">
        <is>
          <t>labeled_word_slots</t>
        </is>
      </c>
      <c r="AF45" s="4" t="inlineStr">
        <is>
          <t>labeled_word_slots</t>
        </is>
      </c>
      <c r="AG45" s="4" t="n">
        <v>45</v>
      </c>
    </row>
    <row r="46" ht="43" customHeight="1">
      <c r="A46" s="4" t="n">
        <v>45</v>
      </c>
      <c r="B46" s="3" t="inlineStr"/>
      <c r="C46" s="3" t="n">
        <v>2024</v>
      </c>
      <c r="D46" s="3" t="inlineStr">
        <is>
          <t>SDRW2400001368.1.1.121</t>
        </is>
      </c>
      <c r="E46" s="3" t="inlineStr">
        <is>
          <t>SD2401102</t>
        </is>
      </c>
      <c r="F46" s="3" t="inlineStr">
        <is>
          <t>SD2401101</t>
        </is>
      </c>
      <c r="G46" s="3" t="inlineStr">
        <is>
          <t>홈 쇼핑에서 사는 게 어려워지는 것 같아.</t>
        </is>
      </c>
      <c r="H46" s="3" t="inlineStr">
        <is>
          <t>홈 쑈핑에서 사는 게 어려워지는 거 같애.</t>
        </is>
      </c>
      <c r="I46" s="3" t="inlineStr">
        <is>
          <t>홈 쇼핑에서 사는 게 어려워지는 걷 가타</t>
        </is>
      </c>
      <c r="J46" s="5" t="inlineStr">
        <is>
          <t>WAV 열기</t>
        </is>
      </c>
      <c r="K46" s="5" t="inlineStr">
        <is>
          <t>TextGrid 열기</t>
        </is>
      </c>
      <c r="L46" s="5" t="inlineStr">
        <is>
          <t>CSV 열기</t>
        </is>
      </c>
      <c r="M46" s="5" t="inlineStr">
        <is>
          <t>LAB 열기</t>
        </is>
      </c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7" t="inlineStr"/>
      <c r="X46" s="6" t="inlineStr"/>
      <c r="Y46" s="8" t="n"/>
      <c r="Z46" s="9">
        <f>IF(COUNTA(N46:U46)=8,"완료","미완료")</f>
        <v/>
      </c>
      <c r="AA46" s="4" t="inlineStr">
        <is>
          <t>SDRW2400001368.1</t>
        </is>
      </c>
      <c r="AB46" s="4" t="inlineStr">
        <is>
          <t>SD2401101 | SD2401102</t>
        </is>
      </c>
      <c r="AC46" s="4" t="inlineStr">
        <is>
          <t>form_rule_prediction</t>
        </is>
      </c>
      <c r="AD46" s="4" t="inlineStr"/>
      <c r="AE46" s="4" t="inlineStr">
        <is>
          <t>all_lexical_slots</t>
        </is>
      </c>
      <c r="AF46" s="4" t="inlineStr">
        <is>
          <t>all_lexical_slots</t>
        </is>
      </c>
      <c r="AG46" s="4" t="n">
        <v>46</v>
      </c>
    </row>
    <row r="47" ht="43" customHeight="1">
      <c r="A47" s="4" t="n">
        <v>46</v>
      </c>
      <c r="B47" s="3" t="inlineStr"/>
      <c r="C47" s="3" t="n">
        <v>2024</v>
      </c>
      <c r="D47" s="3" t="inlineStr">
        <is>
          <t>SDRW2400001368.1.1.105</t>
        </is>
      </c>
      <c r="E47" s="3" t="inlineStr">
        <is>
          <t>SD2401102</t>
        </is>
      </c>
      <c r="F47" s="3" t="inlineStr">
        <is>
          <t>SD2401101</t>
        </is>
      </c>
      <c r="G47" s="3" t="inlineStr">
        <is>
          <t>혜택적인 부분도 내가 엄마가 직접적으로 듣고 바로 구매할 수 있는</t>
        </is>
      </c>
      <c r="H47" s="3" t="inlineStr">
        <is>
          <t>혜택적인 부분두 내가 엄마가 직접적으로 듣고 바로 구매할 수 있는</t>
        </is>
      </c>
      <c r="I47" s="3" t="inlineStr">
        <is>
          <t>혜택쩌긴 부분도 내가 엄마가 직쩝쩌그로 듣꼬 바로 구매할 수 인는</t>
        </is>
      </c>
      <c r="J47" s="5" t="inlineStr">
        <is>
          <t>WAV 열기</t>
        </is>
      </c>
      <c r="K47" s="5" t="inlineStr">
        <is>
          <t>TextGrid 열기</t>
        </is>
      </c>
      <c r="L47" s="5" t="inlineStr">
        <is>
          <t>CSV 열기</t>
        </is>
      </c>
      <c r="M47" s="5" t="inlineStr">
        <is>
          <t>LAB 열기</t>
        </is>
      </c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7" t="inlineStr"/>
      <c r="X47" s="6" t="inlineStr"/>
      <c r="Y47" s="8" t="n"/>
      <c r="Z47" s="9">
        <f>IF(COUNTA(N47:U47)=8,"완료","미완료")</f>
        <v/>
      </c>
      <c r="AA47" s="4" t="inlineStr">
        <is>
          <t>SDRW2400001368.1</t>
        </is>
      </c>
      <c r="AB47" s="4" t="inlineStr">
        <is>
          <t>SD2401101 | SD2401102</t>
        </is>
      </c>
      <c r="AC47" s="4" t="inlineStr">
        <is>
          <t>form_rule_prediction</t>
        </is>
      </c>
      <c r="AD47" s="4" t="inlineStr"/>
      <c r="AE47" s="4" t="inlineStr">
        <is>
          <t>labeled_word_slots</t>
        </is>
      </c>
      <c r="AF47" s="4" t="inlineStr">
        <is>
          <t>labeled_word_slots</t>
        </is>
      </c>
      <c r="AG47" s="4" t="n">
        <v>47</v>
      </c>
    </row>
    <row r="48" ht="43" customHeight="1">
      <c r="A48" s="4" t="n">
        <v>47</v>
      </c>
      <c r="B48" s="3" t="inlineStr"/>
      <c r="C48" s="3" t="n">
        <v>2024</v>
      </c>
      <c r="D48" s="3" t="inlineStr">
        <is>
          <t>SDRW2400001439.1.1.152</t>
        </is>
      </c>
      <c r="E48" s="3" t="inlineStr">
        <is>
          <t>SD2401137</t>
        </is>
      </c>
      <c r="F48" s="3" t="inlineStr">
        <is>
          <t>SD2401138</t>
        </is>
      </c>
      <c r="G48" s="3" t="inlineStr">
        <is>
          <t>어 그렇긴 해.</t>
        </is>
      </c>
      <c r="H48" s="3" t="inlineStr">
        <is>
          <t>어 그렇긴 해.</t>
        </is>
      </c>
      <c r="I48" s="3" t="inlineStr">
        <is>
          <t>어 그러킨 해</t>
        </is>
      </c>
      <c r="J48" s="5" t="inlineStr">
        <is>
          <t>WAV 열기</t>
        </is>
      </c>
      <c r="K48" s="5" t="inlineStr">
        <is>
          <t>TextGrid 열기</t>
        </is>
      </c>
      <c r="L48" s="5" t="inlineStr">
        <is>
          <t>CSV 열기</t>
        </is>
      </c>
      <c r="M48" s="5" t="inlineStr">
        <is>
          <t>LAB 열기</t>
        </is>
      </c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7" t="inlineStr"/>
      <c r="X48" s="6" t="inlineStr"/>
      <c r="Y48" s="8" t="n"/>
      <c r="Z48" s="9">
        <f>IF(COUNTA(N48:U48)=8,"완료","미완료")</f>
        <v/>
      </c>
      <c r="AA48" s="4" t="inlineStr">
        <is>
          <t>SDRW2400001439.1</t>
        </is>
      </c>
      <c r="AB48" s="4" t="inlineStr">
        <is>
          <t>SD2401137 | SD2401138</t>
        </is>
      </c>
      <c r="AC48" s="4" t="inlineStr">
        <is>
          <t>form_rule_prediction</t>
        </is>
      </c>
      <c r="AD48" s="4" t="inlineStr"/>
      <c r="AE48" s="4" t="inlineStr">
        <is>
          <t>all_lexical_slots</t>
        </is>
      </c>
      <c r="AF48" s="4" t="inlineStr">
        <is>
          <t>all_lexical_slots</t>
        </is>
      </c>
      <c r="AG48" s="4" t="n">
        <v>48</v>
      </c>
    </row>
    <row r="49" ht="43" customHeight="1">
      <c r="A49" s="4" t="n">
        <v>48</v>
      </c>
      <c r="B49" s="3" t="inlineStr"/>
      <c r="C49" s="3" t="n">
        <v>2024</v>
      </c>
      <c r="D49" s="3" t="inlineStr">
        <is>
          <t>SDRW2400001439.1.1.121</t>
        </is>
      </c>
      <c r="E49" s="3" t="inlineStr">
        <is>
          <t>SD2401137</t>
        </is>
      </c>
      <c r="F49" s="3" t="inlineStr">
        <is>
          <t>SD2401138</t>
        </is>
      </c>
      <c r="G49" s="3" t="inlineStr">
        <is>
          <t>약간 강아지들 하는 것처럼 해.</t>
        </is>
      </c>
      <c r="H49" s="3" t="inlineStr">
        <is>
          <t>약간 강아지들 하는 것처럼 해.</t>
        </is>
      </c>
      <c r="I49" s="3" t="inlineStr">
        <is>
          <t>약깐 강아지들 하는 걷처럼 해</t>
        </is>
      </c>
      <c r="J49" s="5" t="inlineStr">
        <is>
          <t>WAV 열기</t>
        </is>
      </c>
      <c r="K49" s="5" t="inlineStr">
        <is>
          <t>TextGrid 열기</t>
        </is>
      </c>
      <c r="L49" s="5" t="inlineStr">
        <is>
          <t>CSV 열기</t>
        </is>
      </c>
      <c r="M49" s="5" t="inlineStr">
        <is>
          <t>LAB 열기</t>
        </is>
      </c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7" t="inlineStr"/>
      <c r="X49" s="6" t="inlineStr"/>
      <c r="Y49" s="8" t="n"/>
      <c r="Z49" s="9">
        <f>IF(COUNTA(N49:U49)=8,"완료","미완료")</f>
        <v/>
      </c>
      <c r="AA49" s="4" t="inlineStr">
        <is>
          <t>SDRW2400001439.1</t>
        </is>
      </c>
      <c r="AB49" s="4" t="inlineStr">
        <is>
          <t>SD2401137 | SD2401138</t>
        </is>
      </c>
      <c r="AC49" s="4" t="inlineStr">
        <is>
          <t>form_rule_prediction</t>
        </is>
      </c>
      <c r="AD49" s="4" t="inlineStr"/>
      <c r="AE49" s="4" t="inlineStr">
        <is>
          <t>all_lexical_slots</t>
        </is>
      </c>
      <c r="AF49" s="4" t="inlineStr">
        <is>
          <t>all_lexical_slots</t>
        </is>
      </c>
      <c r="AG49" s="4" t="n">
        <v>49</v>
      </c>
    </row>
    <row r="50" ht="43" customHeight="1">
      <c r="A50" s="4" t="n">
        <v>49</v>
      </c>
      <c r="B50" s="3" t="inlineStr"/>
      <c r="C50" s="3" t="n">
        <v>2024</v>
      </c>
      <c r="D50" s="3" t="inlineStr">
        <is>
          <t>SDRW2400001727.1.1.188</t>
        </is>
      </c>
      <c r="E50" s="3" t="inlineStr">
        <is>
          <t>SD2401293</t>
        </is>
      </c>
      <c r="F50" s="3" t="inlineStr">
        <is>
          <t>SD2401294</t>
        </is>
      </c>
      <c r="G50" s="3" t="inlineStr">
        <is>
          <t>이왕이면 좀 청주 공항 이용해서 갈 수 있는 데를 좀 알아볼게.</t>
        </is>
      </c>
      <c r="H50" s="3" t="inlineStr">
        <is>
          <t>이왕이면 쫌 청주 공항 이용해서 갈 수 있는 데를 좀 알아볼게.</t>
        </is>
      </c>
      <c r="I50" s="3" t="inlineStr">
        <is>
          <t>이왕이면 좀 청주 공항 이용해서 갈 수 인는 데를 좀 아라볼게</t>
        </is>
      </c>
      <c r="J50" s="5" t="inlineStr">
        <is>
          <t>WAV 열기</t>
        </is>
      </c>
      <c r="K50" s="5" t="inlineStr">
        <is>
          <t>TextGrid 열기</t>
        </is>
      </c>
      <c r="L50" s="5" t="inlineStr">
        <is>
          <t>CSV 열기</t>
        </is>
      </c>
      <c r="M50" s="5" t="inlineStr">
        <is>
          <t>LAB 열기</t>
        </is>
      </c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7" t="inlineStr"/>
      <c r="X50" s="6" t="inlineStr"/>
      <c r="Y50" s="8" t="n"/>
      <c r="Z50" s="9">
        <f>IF(COUNTA(N50:U50)=8,"완료","미완료")</f>
        <v/>
      </c>
      <c r="AA50" s="4" t="inlineStr">
        <is>
          <t>SDRW2400001727.1</t>
        </is>
      </c>
      <c r="AB50" s="4" t="inlineStr">
        <is>
          <t>SD2401293 | SD2401294</t>
        </is>
      </c>
      <c r="AC50" s="4" t="inlineStr">
        <is>
          <t>form_rule_prediction</t>
        </is>
      </c>
      <c r="AD50" s="4" t="inlineStr"/>
      <c r="AE50" s="4" t="inlineStr">
        <is>
          <t>all_lexical_slots</t>
        </is>
      </c>
      <c r="AF50" s="4" t="inlineStr">
        <is>
          <t>all_lexical_slots</t>
        </is>
      </c>
      <c r="AG50" s="4" t="n">
        <v>50</v>
      </c>
    </row>
    <row r="51" ht="43" customHeight="1">
      <c r="A51" s="4" t="n">
        <v>50</v>
      </c>
      <c r="B51" s="3" t="inlineStr"/>
      <c r="C51" s="3" t="n">
        <v>2024</v>
      </c>
      <c r="D51" s="3" t="inlineStr">
        <is>
          <t>SDRW2400001727.1.1.4</t>
        </is>
      </c>
      <c r="E51" s="3" t="inlineStr">
        <is>
          <t>SD2401293</t>
        </is>
      </c>
      <c r="F51" s="3" t="inlineStr">
        <is>
          <t>SD2401294</t>
        </is>
      </c>
      <c r="G51" s="3" t="inlineStr">
        <is>
          <t>그리고 남편하고 이 분 4명이서 가는데</t>
        </is>
      </c>
      <c r="H51" s="3" t="inlineStr">
        <is>
          <t>그리고 남편하고 이 분 네 명이서 가는데</t>
        </is>
      </c>
      <c r="I51" s="3" t="inlineStr">
        <is>
          <t>그리고 남편하고 이 분 네 명이서 가는데</t>
        </is>
      </c>
      <c r="J51" s="5" t="inlineStr">
        <is>
          <t>WAV 열기</t>
        </is>
      </c>
      <c r="K51" s="5" t="inlineStr">
        <is>
          <t>TextGrid 열기</t>
        </is>
      </c>
      <c r="L51" s="5" t="inlineStr">
        <is>
          <t>CSV 열기</t>
        </is>
      </c>
      <c r="M51" s="5" t="inlineStr">
        <is>
          <t>LAB 열기</t>
        </is>
      </c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7" t="inlineStr"/>
      <c r="X51" s="6" t="inlineStr"/>
      <c r="Y51" s="8" t="n"/>
      <c r="Z51" s="9">
        <f>IF(COUNTA(N51:U51)=8,"완료","미완료")</f>
        <v/>
      </c>
      <c r="AA51" s="4" t="inlineStr">
        <is>
          <t>SDRW2400001727.1</t>
        </is>
      </c>
      <c r="AB51" s="4" t="inlineStr">
        <is>
          <t>SD2401293 | SD2401294</t>
        </is>
      </c>
      <c r="AC51" s="4" t="inlineStr">
        <is>
          <t>original_form_placeholder_resolution</t>
        </is>
      </c>
      <c r="AD51" s="4" t="inlineStr">
        <is>
          <t>original_form: tokens=7, lexical_slots=10, labeled_slots=6; pron_reference: tokens=7, lexical_slots=10, labeled_slots=6</t>
        </is>
      </c>
      <c r="AE51" s="4" t="inlineStr">
        <is>
          <t>utterance_fallback</t>
        </is>
      </c>
      <c r="AF51" s="4" t="inlineStr">
        <is>
          <t>utterance_fallback</t>
        </is>
      </c>
      <c r="AG51" s="4" t="n">
        <v>51</v>
      </c>
    </row>
    <row r="52" ht="43" customHeight="1">
      <c r="A52" s="4" t="n">
        <v>51</v>
      </c>
      <c r="B52" s="3" t="inlineStr"/>
      <c r="C52" s="3" t="n">
        <v>2025</v>
      </c>
      <c r="D52" s="3" t="inlineStr">
        <is>
          <t>SDRW2500000335.1.1.238</t>
        </is>
      </c>
      <c r="E52" s="3" t="inlineStr">
        <is>
          <t>SD2500305</t>
        </is>
      </c>
      <c r="F52" s="3" t="inlineStr">
        <is>
          <t>SD2500302 | SD2500303 | SD2500304</t>
        </is>
      </c>
      <c r="G52" s="3" t="inlineStr">
        <is>
          <t>저도 좀 입기는 했었어요.</t>
        </is>
      </c>
      <c r="H52" s="3" t="inlineStr">
        <is>
          <t>저도 쫌 입기는 했었어요.</t>
        </is>
      </c>
      <c r="I52" s="3" t="inlineStr">
        <is>
          <t>저도 좀 입끼는 해써써요</t>
        </is>
      </c>
      <c r="J52" s="5" t="inlineStr">
        <is>
          <t>WAV 열기</t>
        </is>
      </c>
      <c r="K52" s="5" t="inlineStr">
        <is>
          <t>TextGrid 열기</t>
        </is>
      </c>
      <c r="L52" s="5" t="inlineStr">
        <is>
          <t>CSV 열기</t>
        </is>
      </c>
      <c r="M52" s="5" t="inlineStr">
        <is>
          <t>LAB 열기</t>
        </is>
      </c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7" t="inlineStr"/>
      <c r="X52" s="6" t="inlineStr"/>
      <c r="Y52" s="8" t="n"/>
      <c r="Z52" s="9">
        <f>IF(COUNTA(N52:U52)=8,"완료","미완료")</f>
        <v/>
      </c>
      <c r="AA52" s="4" t="inlineStr">
        <is>
          <t>SDRW2500000335.1</t>
        </is>
      </c>
      <c r="AB52" s="4" t="inlineStr">
        <is>
          <t>SD2500302 | SD2500303 | SD2500304 | SD2500305</t>
        </is>
      </c>
      <c r="AC52" s="4" t="inlineStr">
        <is>
          <t>form_rule_prediction</t>
        </is>
      </c>
      <c r="AD52" s="4" t="inlineStr"/>
      <c r="AE52" s="4" t="inlineStr">
        <is>
          <t>labeled_word_slots</t>
        </is>
      </c>
      <c r="AF52" s="4" t="inlineStr">
        <is>
          <t>labeled_word_slots</t>
        </is>
      </c>
      <c r="AG52" s="4" t="n">
        <v>52</v>
      </c>
    </row>
    <row r="53" ht="43" customHeight="1">
      <c r="A53" s="4" t="n">
        <v>52</v>
      </c>
      <c r="B53" s="3" t="inlineStr"/>
      <c r="C53" s="3" t="n">
        <v>2025</v>
      </c>
      <c r="D53" s="3" t="inlineStr">
        <is>
          <t>SDRW2500000335.1.1.45</t>
        </is>
      </c>
      <c r="E53" s="3" t="inlineStr">
        <is>
          <t>SD2500305</t>
        </is>
      </c>
      <c r="F53" s="3" t="inlineStr">
        <is>
          <t>SD2500302 | SD2500303 | SD2500304</t>
        </is>
      </c>
      <c r="G53" s="3" t="inlineStr">
        <is>
          <t>이게 그 쿠팡에서 우리가 어 야채를 샀을 때</t>
        </is>
      </c>
      <c r="H53" s="3" t="inlineStr">
        <is>
          <t>이게 그~ 쿠팡에서 우리가 어~ 야채를 샀을 때</t>
        </is>
      </c>
      <c r="I53" s="3" t="inlineStr">
        <is>
          <t>이게 그 쿠팡에서 우리가 어 야채를 사쓸 때</t>
        </is>
      </c>
      <c r="J53" s="5" t="inlineStr">
        <is>
          <t>WAV 열기</t>
        </is>
      </c>
      <c r="K53" s="5" t="inlineStr">
        <is>
          <t>TextGrid 열기</t>
        </is>
      </c>
      <c r="L53" s="5" t="inlineStr">
        <is>
          <t>CSV 열기</t>
        </is>
      </c>
      <c r="M53" s="5" t="inlineStr">
        <is>
          <t>LAB 열기</t>
        </is>
      </c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7" t="inlineStr"/>
      <c r="X53" s="6" t="inlineStr"/>
      <c r="Y53" s="8" t="n"/>
      <c r="Z53" s="9">
        <f>IF(COUNTA(N53:U53)=8,"완료","미완료")</f>
        <v/>
      </c>
      <c r="AA53" s="4" t="inlineStr">
        <is>
          <t>SDRW2500000335.1</t>
        </is>
      </c>
      <c r="AB53" s="4" t="inlineStr">
        <is>
          <t>SD2500302 | SD2500303 | SD2500304 | SD2500305</t>
        </is>
      </c>
      <c r="AC53" s="4" t="inlineStr">
        <is>
          <t>form_rule_prediction</t>
        </is>
      </c>
      <c r="AD53" s="4" t="inlineStr"/>
      <c r="AE53" s="4" t="inlineStr">
        <is>
          <t>labeled_word_slots</t>
        </is>
      </c>
      <c r="AF53" s="4" t="inlineStr">
        <is>
          <t>labeled_word_slots</t>
        </is>
      </c>
      <c r="AG53" s="4" t="n">
        <v>53</v>
      </c>
    </row>
    <row r="54" ht="43" customHeight="1">
      <c r="A54" s="4" t="n">
        <v>53</v>
      </c>
      <c r="B54" s="3" t="inlineStr"/>
      <c r="C54" s="3" t="n">
        <v>2025</v>
      </c>
      <c r="D54" s="3" t="inlineStr">
        <is>
          <t>SDRW2500000968.1.1.140</t>
        </is>
      </c>
      <c r="E54" s="3" t="inlineStr">
        <is>
          <t>SD2500839</t>
        </is>
      </c>
      <c r="F54" s="3" t="inlineStr">
        <is>
          <t>SD2500840</t>
        </is>
      </c>
      <c r="G54" s="3" t="inlineStr">
        <is>
          <t>네.</t>
        </is>
      </c>
      <c r="H54" s="3" t="inlineStr">
        <is>
          <t>네.</t>
        </is>
      </c>
      <c r="I54" s="3" t="inlineStr">
        <is>
          <t>네</t>
        </is>
      </c>
      <c r="J54" s="5" t="inlineStr">
        <is>
          <t>WAV 열기</t>
        </is>
      </c>
      <c r="K54" s="5" t="inlineStr">
        <is>
          <t>TextGrid 열기</t>
        </is>
      </c>
      <c r="L54" s="5" t="inlineStr">
        <is>
          <t>CSV 열기</t>
        </is>
      </c>
      <c r="M54" s="5" t="inlineStr">
        <is>
          <t>LAB 열기</t>
        </is>
      </c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7" t="inlineStr"/>
      <c r="X54" s="6" t="inlineStr"/>
      <c r="Y54" s="8" t="n"/>
      <c r="Z54" s="9">
        <f>IF(COUNTA(N54:U54)=8,"완료","미완료")</f>
        <v/>
      </c>
      <c r="AA54" s="4" t="inlineStr">
        <is>
          <t>SDRW2500000968.1</t>
        </is>
      </c>
      <c r="AB54" s="4" t="inlineStr">
        <is>
          <t>SD2500839 | SD2500840</t>
        </is>
      </c>
      <c r="AC54" s="4" t="inlineStr">
        <is>
          <t>form_rule_prediction</t>
        </is>
      </c>
      <c r="AD54" s="4" t="inlineStr"/>
      <c r="AE54" s="4" t="inlineStr">
        <is>
          <t>all_lexical_slots</t>
        </is>
      </c>
      <c r="AF54" s="4" t="inlineStr">
        <is>
          <t>all_lexical_slots</t>
        </is>
      </c>
      <c r="AG54" s="4" t="n">
        <v>54</v>
      </c>
    </row>
    <row r="55" ht="43" customHeight="1">
      <c r="A55" s="4" t="n">
        <v>54</v>
      </c>
      <c r="B55" s="3" t="inlineStr"/>
      <c r="C55" s="3" t="n">
        <v>2025</v>
      </c>
      <c r="D55" s="3" t="inlineStr">
        <is>
          <t>SDRW2500000968.1.1.203</t>
        </is>
      </c>
      <c r="E55" s="3" t="inlineStr">
        <is>
          <t>SD2500839</t>
        </is>
      </c>
      <c r="F55" s="3" t="inlineStr">
        <is>
          <t>SD2500840</t>
        </is>
      </c>
      <c r="G55" s="3" t="inlineStr">
        <is>
          <t>아 이런 거는 아이들도 미리 알면 좋겠다라는 것들을 같이 얘기해 보고 공부하니까</t>
        </is>
      </c>
      <c r="H55" s="3" t="inlineStr">
        <is>
          <t>아 이런 거는 아이들도 미리 알면 좋겠다라는 것들을 같이 얘기해 보고 공부하니까</t>
        </is>
      </c>
      <c r="I55" s="3" t="inlineStr">
        <is>
          <t>아 이런 거는 아이들도 미리 알면 조켇따라는 걷뜨를 가치 얘기해 보고 공부하니까</t>
        </is>
      </c>
      <c r="J55" s="5" t="inlineStr">
        <is>
          <t>WAV 열기</t>
        </is>
      </c>
      <c r="K55" s="5" t="inlineStr">
        <is>
          <t>TextGrid 열기</t>
        </is>
      </c>
      <c r="L55" s="5" t="inlineStr">
        <is>
          <t>CSV 열기</t>
        </is>
      </c>
      <c r="M55" s="5" t="inlineStr">
        <is>
          <t>LAB 열기</t>
        </is>
      </c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7" t="inlineStr"/>
      <c r="X55" s="6" t="inlineStr"/>
      <c r="Y55" s="8" t="n"/>
      <c r="Z55" s="9">
        <f>IF(COUNTA(N55:U55)=8,"완료","미완료")</f>
        <v/>
      </c>
      <c r="AA55" s="4" t="inlineStr">
        <is>
          <t>SDRW2500000968.1</t>
        </is>
      </c>
      <c r="AB55" s="4" t="inlineStr">
        <is>
          <t>SD2500839 | SD2500840</t>
        </is>
      </c>
      <c r="AC55" s="4" t="inlineStr">
        <is>
          <t>form_rule_prediction</t>
        </is>
      </c>
      <c r="AD55" s="4" t="inlineStr"/>
      <c r="AE55" s="4" t="inlineStr">
        <is>
          <t>labeled_word_slots</t>
        </is>
      </c>
      <c r="AF55" s="4" t="inlineStr">
        <is>
          <t>labeled_word_slots</t>
        </is>
      </c>
      <c r="AG55" s="4" t="n">
        <v>55</v>
      </c>
    </row>
    <row r="56" ht="43" customHeight="1">
      <c r="A56" s="4" t="n">
        <v>55</v>
      </c>
      <c r="B56" s="3" t="inlineStr"/>
      <c r="C56" s="3" t="n">
        <v>2025</v>
      </c>
      <c r="D56" s="3" t="inlineStr">
        <is>
          <t>SDRW2500002056.1.1.109</t>
        </is>
      </c>
      <c r="E56" s="3" t="inlineStr">
        <is>
          <t>SD2501615</t>
        </is>
      </c>
      <c r="F56" s="3" t="inlineStr">
        <is>
          <t>SD2501616</t>
        </is>
      </c>
      <c r="G56" s="3" t="inlineStr">
        <is>
          <t>그래 갖고 좀 할 게 많을 거 같아서 너무 자유롭고 좋을 거 같아.</t>
        </is>
      </c>
      <c r="H56" s="3" t="inlineStr">
        <is>
          <t>그래 갖고 쫌 할 게 많을 거 같아서 너무 자유롭고 좋을 거 같애.</t>
        </is>
      </c>
      <c r="I56" s="3" t="inlineStr">
        <is>
          <t>그래 갇꼬 좀 할 게 마늘 거 가타서 너무 자유롭꼬 조을 거 가타</t>
        </is>
      </c>
      <c r="J56" s="5" t="inlineStr">
        <is>
          <t>WAV 열기</t>
        </is>
      </c>
      <c r="K56" s="5" t="inlineStr">
        <is>
          <t>TextGrid 열기</t>
        </is>
      </c>
      <c r="L56" s="5" t="inlineStr">
        <is>
          <t>CSV 열기</t>
        </is>
      </c>
      <c r="M56" s="5" t="inlineStr">
        <is>
          <t>LAB 열기</t>
        </is>
      </c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7" t="inlineStr"/>
      <c r="X56" s="6" t="inlineStr"/>
      <c r="Y56" s="8" t="n"/>
      <c r="Z56" s="9">
        <f>IF(COUNTA(N56:U56)=8,"완료","미완료")</f>
        <v/>
      </c>
      <c r="AA56" s="4" t="inlineStr">
        <is>
          <t>SDRW2500002056.1</t>
        </is>
      </c>
      <c r="AB56" s="4" t="inlineStr">
        <is>
          <t>SD2501615 | SD2501616</t>
        </is>
      </c>
      <c r="AC56" s="4" t="inlineStr">
        <is>
          <t>form_rule_prediction</t>
        </is>
      </c>
      <c r="AD56" s="4" t="inlineStr"/>
      <c r="AE56" s="4" t="inlineStr">
        <is>
          <t>labeled_word_slots</t>
        </is>
      </c>
      <c r="AF56" s="4" t="inlineStr">
        <is>
          <t>labeled_word_slots</t>
        </is>
      </c>
      <c r="AG56" s="4" t="n">
        <v>56</v>
      </c>
    </row>
    <row r="57" ht="43" customHeight="1">
      <c r="A57" s="4" t="n">
        <v>56</v>
      </c>
      <c r="B57" s="3" t="inlineStr"/>
      <c r="C57" s="3" t="n">
        <v>2025</v>
      </c>
      <c r="D57" s="3" t="inlineStr">
        <is>
          <t>SDRW2500002056.1.1.60</t>
        </is>
      </c>
      <c r="E57" s="3" t="inlineStr">
        <is>
          <t>SD2501615</t>
        </is>
      </c>
      <c r="F57" s="3" t="inlineStr">
        <is>
          <t>SD2501616</t>
        </is>
      </c>
      <c r="G57" s="3" t="inlineStr">
        <is>
          <t>바드 손이나 발에 묻으면은 좀 좀 불편할 거 같긴 하지만</t>
        </is>
      </c>
      <c r="H57" s="3" t="inlineStr">
        <is>
          <t>-바드- 손이나 발에 묻으면은 쫌 쫌 불편할 거 같긴 하지만</t>
        </is>
      </c>
      <c r="I57" s="3" t="inlineStr">
        <is>
          <t>바드 소니나 바레 무드며는 좀 좀 불편할 거 갇낀 하지만</t>
        </is>
      </c>
      <c r="J57" s="5" t="inlineStr">
        <is>
          <t>WAV 열기</t>
        </is>
      </c>
      <c r="K57" s="5" t="inlineStr">
        <is>
          <t>TextGrid 열기</t>
        </is>
      </c>
      <c r="L57" s="5" t="inlineStr">
        <is>
          <t>CSV 열기</t>
        </is>
      </c>
      <c r="M57" s="5" t="inlineStr">
        <is>
          <t>LAB 열기</t>
        </is>
      </c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7" t="inlineStr"/>
      <c r="X57" s="6" t="inlineStr"/>
      <c r="Y57" s="8" t="n"/>
      <c r="Z57" s="9">
        <f>IF(COUNTA(N57:U57)=8,"완료","미완료")</f>
        <v/>
      </c>
      <c r="AA57" s="4" t="inlineStr">
        <is>
          <t>SDRW2500002056.1</t>
        </is>
      </c>
      <c r="AB57" s="4" t="inlineStr">
        <is>
          <t>SD2501615 | SD2501616</t>
        </is>
      </c>
      <c r="AC57" s="4" t="inlineStr">
        <is>
          <t>form_rule_prediction</t>
        </is>
      </c>
      <c r="AD57" s="4" t="inlineStr"/>
      <c r="AE57" s="4" t="inlineStr">
        <is>
          <t>labeled_word_slots</t>
        </is>
      </c>
      <c r="AF57" s="4" t="inlineStr">
        <is>
          <t>labeled_word_slots</t>
        </is>
      </c>
      <c r="AG57" s="4" t="n">
        <v>57</v>
      </c>
    </row>
    <row r="58" ht="43" customHeight="1">
      <c r="A58" s="4" t="n">
        <v>57</v>
      </c>
      <c r="B58" s="3" t="inlineStr"/>
      <c r="C58" s="3" t="n">
        <v>2025</v>
      </c>
      <c r="D58" s="3" t="inlineStr">
        <is>
          <t>SDRW2500002364.1.1.1</t>
        </is>
      </c>
      <c r="E58" s="3" t="inlineStr">
        <is>
          <t>SD2501815</t>
        </is>
      </c>
      <c r="F58" s="3" t="inlineStr">
        <is>
          <t>SD2501816</t>
        </is>
      </c>
      <c r="G58" s="3" t="inlineStr">
        <is>
          <t>선생님은 요즘에 에이아이가 완전 난리가 났잖아요.</t>
        </is>
      </c>
      <c r="H58" s="3" t="inlineStr">
        <is>
          <t>선생님은 요즘에 에이아이가 완전 난리가 났잖아요.</t>
        </is>
      </c>
      <c r="I58" s="3" t="inlineStr">
        <is>
          <t>선생니믄 요즈메 에이아이가 완전 날리가 낟짜나요</t>
        </is>
      </c>
      <c r="J58" s="5" t="inlineStr">
        <is>
          <t>WAV 열기</t>
        </is>
      </c>
      <c r="K58" s="5" t="inlineStr">
        <is>
          <t>TextGrid 열기</t>
        </is>
      </c>
      <c r="L58" s="5" t="inlineStr">
        <is>
          <t>CSV 열기</t>
        </is>
      </c>
      <c r="M58" s="5" t="inlineStr">
        <is>
          <t>LAB 열기</t>
        </is>
      </c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7" t="inlineStr"/>
      <c r="X58" s="6" t="inlineStr"/>
      <c r="Y58" s="8" t="n"/>
      <c r="Z58" s="9">
        <f>IF(COUNTA(N58:U58)=8,"완료","미완료")</f>
        <v/>
      </c>
      <c r="AA58" s="4" t="inlineStr">
        <is>
          <t>SDRW2500002364.1</t>
        </is>
      </c>
      <c r="AB58" s="4" t="inlineStr">
        <is>
          <t>SD2501815 | SD2501816</t>
        </is>
      </c>
      <c r="AC58" s="4" t="inlineStr">
        <is>
          <t>form_rule_prediction</t>
        </is>
      </c>
      <c r="AD58" s="4" t="inlineStr"/>
      <c r="AE58" s="4" t="inlineStr">
        <is>
          <t>labeled_word_slots</t>
        </is>
      </c>
      <c r="AF58" s="4" t="inlineStr">
        <is>
          <t>labeled_word_slots</t>
        </is>
      </c>
      <c r="AG58" s="4" t="n">
        <v>58</v>
      </c>
    </row>
    <row r="59" ht="43" customHeight="1">
      <c r="A59" s="4" t="n">
        <v>58</v>
      </c>
      <c r="B59" s="3" t="inlineStr"/>
      <c r="C59" s="3" t="n">
        <v>2025</v>
      </c>
      <c r="D59" s="3" t="inlineStr">
        <is>
          <t>SDRW2500002364.1.1.89</t>
        </is>
      </c>
      <c r="E59" s="3" t="inlineStr">
        <is>
          <t>SD2501815</t>
        </is>
      </c>
      <c r="F59" s="3" t="inlineStr">
        <is>
          <t>SD2501816</t>
        </is>
      </c>
      <c r="G59" s="3" t="inlineStr">
        <is>
          <t>뭐 에이 에이아이는 요즘에 진짜 너무 많이 돼 있고 노트북이라든가 뭐 스마</t>
        </is>
      </c>
      <c r="H59" s="3" t="inlineStr">
        <is>
          <t>뭐~ -에이- 에이아이는 요즘에 지자 너무 많이 돼 있고 노트북이라던가 뭐~ -스마-</t>
        </is>
      </c>
      <c r="I59" s="3" t="inlineStr">
        <is>
          <t>뭐 에이 에이아이는 요즈메 진짜 너무 마니 돼 읻꼬 노트부기라든가 뭐 스마</t>
        </is>
      </c>
      <c r="J59" s="5" t="inlineStr">
        <is>
          <t>WAV 열기</t>
        </is>
      </c>
      <c r="K59" s="5" t="inlineStr">
        <is>
          <t>TextGrid 열기</t>
        </is>
      </c>
      <c r="L59" s="5" t="inlineStr">
        <is>
          <t>CSV 열기</t>
        </is>
      </c>
      <c r="M59" s="5" t="inlineStr">
        <is>
          <t>LAB 열기</t>
        </is>
      </c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7" t="inlineStr"/>
      <c r="X59" s="6" t="inlineStr"/>
      <c r="Y59" s="8" t="n"/>
      <c r="Z59" s="9">
        <f>IF(COUNTA(N59:U59)=8,"완료","미완료")</f>
        <v/>
      </c>
      <c r="AA59" s="4" t="inlineStr">
        <is>
          <t>SDRW2500002364.1</t>
        </is>
      </c>
      <c r="AB59" s="4" t="inlineStr">
        <is>
          <t>SD2501815 | SD2501816</t>
        </is>
      </c>
      <c r="AC59" s="4" t="inlineStr">
        <is>
          <t>form_rule_prediction</t>
        </is>
      </c>
      <c r="AD59" s="4" t="inlineStr"/>
      <c r="AE59" s="4" t="inlineStr">
        <is>
          <t>labeled_word_slots</t>
        </is>
      </c>
      <c r="AF59" s="4" t="inlineStr">
        <is>
          <t>labeled_word_slots</t>
        </is>
      </c>
      <c r="AG59" s="4" t="n">
        <v>59</v>
      </c>
    </row>
    <row r="60" ht="43" customHeight="1">
      <c r="A60" s="4" t="n">
        <v>59</v>
      </c>
      <c r="B60" s="3" t="inlineStr"/>
      <c r="C60" s="3" t="n">
        <v>2025</v>
      </c>
      <c r="D60" s="3" t="inlineStr">
        <is>
          <t>SARW2500000286.1.1.57</t>
        </is>
      </c>
      <c r="E60" s="3" t="inlineStr">
        <is>
          <t>SD2502060</t>
        </is>
      </c>
      <c r="F60" s="3" t="inlineStr"/>
      <c r="G60" s="3" t="inlineStr">
        <is>
          <t>3 긍정적인 마무리 경험 만들기</t>
        </is>
      </c>
      <c r="H60" s="3" t="inlineStr">
        <is>
          <t>삼 긍정적인 마무리 경험 만들기</t>
        </is>
      </c>
      <c r="I60" s="3" t="inlineStr">
        <is>
          <t>삼 긍정저긴 마무리 경험 만들기</t>
        </is>
      </c>
      <c r="J60" s="5" t="inlineStr">
        <is>
          <t>WAV 열기</t>
        </is>
      </c>
      <c r="K60" s="5" t="inlineStr">
        <is>
          <t>TextGrid 열기</t>
        </is>
      </c>
      <c r="L60" s="5" t="inlineStr">
        <is>
          <t>CSV 열기</t>
        </is>
      </c>
      <c r="M60" s="5" t="inlineStr">
        <is>
          <t>LAB 열기</t>
        </is>
      </c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7" t="inlineStr"/>
      <c r="X60" s="6" t="inlineStr"/>
      <c r="Y60" s="8" t="n"/>
      <c r="Z60" s="9">
        <f>IF(COUNTA(N60:U60)=8,"완료","미완료")</f>
        <v/>
      </c>
      <c r="AA60" s="4" t="inlineStr">
        <is>
          <t>SARW2500000286.1</t>
        </is>
      </c>
      <c r="AB60" s="4" t="inlineStr">
        <is>
          <t>SD2502060</t>
        </is>
      </c>
      <c r="AC60" s="4" t="inlineStr">
        <is>
          <t>original_form_placeholder_resolution</t>
        </is>
      </c>
      <c r="AD60" s="4" t="inlineStr">
        <is>
          <t>original_form: tokens=5, lexical_slots=4, labeled_slots=4; pron_reference: tokens=5, lexical_slots=4, labeled_slots=4</t>
        </is>
      </c>
      <c r="AE60" s="4" t="inlineStr">
        <is>
          <t>utterance_fallback</t>
        </is>
      </c>
      <c r="AF60" s="4" t="inlineStr">
        <is>
          <t>utterance_fallback</t>
        </is>
      </c>
      <c r="AG60" s="4" t="n">
        <v>60</v>
      </c>
    </row>
    <row r="61" ht="43" customHeight="1">
      <c r="A61" s="4" t="n">
        <v>60</v>
      </c>
      <c r="B61" s="3" t="inlineStr"/>
      <c r="C61" s="3" t="n">
        <v>2025</v>
      </c>
      <c r="D61" s="3" t="inlineStr">
        <is>
          <t>SARW2500000286.1.1.21</t>
        </is>
      </c>
      <c r="E61" s="3" t="inlineStr">
        <is>
          <t>SD2502060</t>
        </is>
      </c>
      <c r="F61" s="3" t="inlineStr"/>
      <c r="G61" s="3" t="inlineStr">
        <is>
          <t>특히 발바닥이나 배 엉덩이 같은 부위는 예민한 경우가 많기 때문에</t>
        </is>
      </c>
      <c r="H61" s="3" t="inlineStr">
        <is>
          <t>특히 발바닥이나 배 엉덩이 같은 부위는 예민한 경우가 많기 때문에</t>
        </is>
      </c>
      <c r="I61" s="3" t="inlineStr">
        <is>
          <t>트키 발바다기나 배 엉덩이 가튼 부위는 예민한 경우가 만키 때무네</t>
        </is>
      </c>
      <c r="J61" s="5" t="inlineStr">
        <is>
          <t>WAV 열기</t>
        </is>
      </c>
      <c r="K61" s="5" t="inlineStr">
        <is>
          <t>TextGrid 열기</t>
        </is>
      </c>
      <c r="L61" s="5" t="inlineStr">
        <is>
          <t>CSV 열기</t>
        </is>
      </c>
      <c r="M61" s="5" t="inlineStr">
        <is>
          <t>LAB 열기</t>
        </is>
      </c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7" t="inlineStr"/>
      <c r="X61" s="6" t="inlineStr"/>
      <c r="Y61" s="8" t="n"/>
      <c r="Z61" s="9">
        <f>IF(COUNTA(N61:U61)=8,"완료","미완료")</f>
        <v/>
      </c>
      <c r="AA61" s="4" t="inlineStr">
        <is>
          <t>SARW2500000286.1</t>
        </is>
      </c>
      <c r="AB61" s="4" t="inlineStr">
        <is>
          <t>SD2502060</t>
        </is>
      </c>
      <c r="AC61" s="4" t="inlineStr">
        <is>
          <t>form_rule_prediction</t>
        </is>
      </c>
      <c r="AD61" s="4" t="inlineStr"/>
      <c r="AE61" s="4" t="inlineStr">
        <is>
          <t>labeled_word_slots</t>
        </is>
      </c>
      <c r="AF61" s="4" t="inlineStr">
        <is>
          <t>labeled_word_slots</t>
        </is>
      </c>
      <c r="AG61" s="4" t="n">
        <v>61</v>
      </c>
    </row>
  </sheetData>
  <autoFilter ref="A1:AG61"/>
  <conditionalFormatting sqref="N2:N61">
    <cfRule type="cellIs" priority="1" operator="equal" dxfId="0">
      <formula>"일치"</formula>
    </cfRule>
    <cfRule type="cellIs" priority="2" operator="equal" dxfId="1">
      <formula>"불일치"</formula>
    </cfRule>
  </conditionalFormatting>
  <conditionalFormatting sqref="O2:T61">
    <cfRule type="cellIs" priority="3" operator="equal" dxfId="0">
      <formula>"양호"</formula>
    </cfRule>
    <cfRule type="cellIs" priority="4" operator="equal" dxfId="1">
      <formula>"수정 필요"</formula>
    </cfRule>
  </conditionalFormatting>
  <conditionalFormatting sqref="N2:T61">
    <cfRule type="cellIs" priority="5" operator="equal" dxfId="2">
      <formula>"판단 불가"</formula>
    </cfRule>
  </conditionalFormatting>
  <conditionalFormatting sqref="U2:U61">
    <cfRule type="cellIs" priority="6" operator="equal" dxfId="0">
      <formula>"통과"</formula>
    </cfRule>
    <cfRule type="cellIs" priority="7" operator="equal" dxfId="1">
      <formula>"수정 필요"</formula>
    </cfRule>
    <cfRule type="cellIs" priority="8" operator="equal" dxfId="2">
      <formula>"보류"</formula>
    </cfRule>
  </conditionalFormatting>
  <conditionalFormatting sqref="V2:V61">
    <cfRule type="cellIs" priority="9" operator="equal" dxfId="1">
      <formula>"예"</formula>
    </cfRule>
  </conditionalFormatting>
  <conditionalFormatting sqref="Z2:Z61">
    <cfRule type="cellIs" priority="10" operator="equal" dxfId="0">
      <formula>"완료"</formula>
    </cfRule>
    <cfRule type="cellIs" priority="11" operator="equal" dxfId="3">
      <formula>"미완료"</formula>
    </cfRule>
  </conditionalFormatting>
  <conditionalFormatting sqref="A2:AG61">
    <cfRule type="expression" priority="12" dxfId="2">
      <formula>$AD2&lt;&gt;""</formula>
    </cfRule>
  </conditionalFormatting>
  <dataValidations count="4">
    <dataValidation sqref="N2:N61" showDropDown="0" showInputMessage="1" showErrorMessage="1" allowBlank="1" errorTitle="허용되지 않은 값" error="목록에서 값을 선택하세요." promptTitle="검토 판정" prompt="셀 오른쪽의 목록에서 판정값을 선택하세요." type="list">
      <formula1>"일치,불일치,판단 불가"</formula1>
    </dataValidation>
    <dataValidation sqref="O2:T61" showDropDown="0" showInputMessage="1" showErrorMessage="1" allowBlank="1" errorTitle="허용되지 않은 값" error="목록에서 값을 선택하세요." promptTitle="검토 판정" prompt="셀 오른쪽의 목록에서 판정값을 선택하세요." type="list">
      <formula1>"양호,수정 필요,판단 불가"</formula1>
    </dataValidation>
    <dataValidation sqref="U2:U61" showDropDown="0" showInputMessage="1" showErrorMessage="1" allowBlank="1" errorTitle="허용되지 않은 값" error="목록에서 값을 선택하세요." promptTitle="검토 판정" prompt="셀 오른쪽의 목록에서 판정값을 선택하세요." type="list">
      <formula1>"통과,수정 필요,보류"</formula1>
    </dataValidation>
    <dataValidation sqref="V2:V61" showDropDown="0" showInputMessage="1" showErrorMessage="1" allowBlank="1" errorTitle="허용되지 않은 값" error="목록에서 값을 선택하세요." promptTitle="검토 판정" prompt="셀 오른쪽의 목록에서 판정값을 선택하세요." type="list">
      <formula1>"아니오,예"</formula1>
    </dataValidation>
  </dataValidations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L2" r:id="rId3"/>
    <hyperlink xmlns:r="http://schemas.openxmlformats.org/officeDocument/2006/relationships" ref="M2" r:id="rId4"/>
    <hyperlink xmlns:r="http://schemas.openxmlformats.org/officeDocument/2006/relationships" ref="J3" r:id="rId5"/>
    <hyperlink xmlns:r="http://schemas.openxmlformats.org/officeDocument/2006/relationships" ref="K3" r:id="rId6"/>
    <hyperlink xmlns:r="http://schemas.openxmlformats.org/officeDocument/2006/relationships" ref="L3" r:id="rId7"/>
    <hyperlink xmlns:r="http://schemas.openxmlformats.org/officeDocument/2006/relationships" ref="M3" r:id="rId8"/>
    <hyperlink xmlns:r="http://schemas.openxmlformats.org/officeDocument/2006/relationships" ref="J4" r:id="rId9"/>
    <hyperlink xmlns:r="http://schemas.openxmlformats.org/officeDocument/2006/relationships" ref="K4" r:id="rId10"/>
    <hyperlink xmlns:r="http://schemas.openxmlformats.org/officeDocument/2006/relationships" ref="L4" r:id="rId11"/>
    <hyperlink xmlns:r="http://schemas.openxmlformats.org/officeDocument/2006/relationships" ref="M4" r:id="rId12"/>
    <hyperlink xmlns:r="http://schemas.openxmlformats.org/officeDocument/2006/relationships" ref="J5" r:id="rId13"/>
    <hyperlink xmlns:r="http://schemas.openxmlformats.org/officeDocument/2006/relationships" ref="K5" r:id="rId14"/>
    <hyperlink xmlns:r="http://schemas.openxmlformats.org/officeDocument/2006/relationships" ref="L5" r:id="rId15"/>
    <hyperlink xmlns:r="http://schemas.openxmlformats.org/officeDocument/2006/relationships" ref="M5" r:id="rId16"/>
    <hyperlink xmlns:r="http://schemas.openxmlformats.org/officeDocument/2006/relationships" ref="J6" r:id="rId17"/>
    <hyperlink xmlns:r="http://schemas.openxmlformats.org/officeDocument/2006/relationships" ref="K6" r:id="rId18"/>
    <hyperlink xmlns:r="http://schemas.openxmlformats.org/officeDocument/2006/relationships" ref="L6" r:id="rId19"/>
    <hyperlink xmlns:r="http://schemas.openxmlformats.org/officeDocument/2006/relationships" ref="M6" r:id="rId20"/>
    <hyperlink xmlns:r="http://schemas.openxmlformats.org/officeDocument/2006/relationships" ref="J7" r:id="rId21"/>
    <hyperlink xmlns:r="http://schemas.openxmlformats.org/officeDocument/2006/relationships" ref="K7" r:id="rId22"/>
    <hyperlink xmlns:r="http://schemas.openxmlformats.org/officeDocument/2006/relationships" ref="L7" r:id="rId23"/>
    <hyperlink xmlns:r="http://schemas.openxmlformats.org/officeDocument/2006/relationships" ref="M7" r:id="rId24"/>
    <hyperlink xmlns:r="http://schemas.openxmlformats.org/officeDocument/2006/relationships" ref="J8" r:id="rId25"/>
    <hyperlink xmlns:r="http://schemas.openxmlformats.org/officeDocument/2006/relationships" ref="K8" r:id="rId26"/>
    <hyperlink xmlns:r="http://schemas.openxmlformats.org/officeDocument/2006/relationships" ref="L8" r:id="rId27"/>
    <hyperlink xmlns:r="http://schemas.openxmlformats.org/officeDocument/2006/relationships" ref="M8" r:id="rId28"/>
    <hyperlink xmlns:r="http://schemas.openxmlformats.org/officeDocument/2006/relationships" ref="J9" r:id="rId29"/>
    <hyperlink xmlns:r="http://schemas.openxmlformats.org/officeDocument/2006/relationships" ref="K9" r:id="rId30"/>
    <hyperlink xmlns:r="http://schemas.openxmlformats.org/officeDocument/2006/relationships" ref="L9" r:id="rId31"/>
    <hyperlink xmlns:r="http://schemas.openxmlformats.org/officeDocument/2006/relationships" ref="M9" r:id="rId32"/>
    <hyperlink xmlns:r="http://schemas.openxmlformats.org/officeDocument/2006/relationships" ref="J10" r:id="rId33"/>
    <hyperlink xmlns:r="http://schemas.openxmlformats.org/officeDocument/2006/relationships" ref="K10" r:id="rId34"/>
    <hyperlink xmlns:r="http://schemas.openxmlformats.org/officeDocument/2006/relationships" ref="L10" r:id="rId35"/>
    <hyperlink xmlns:r="http://schemas.openxmlformats.org/officeDocument/2006/relationships" ref="M10" r:id="rId36"/>
    <hyperlink xmlns:r="http://schemas.openxmlformats.org/officeDocument/2006/relationships" ref="J11" r:id="rId37"/>
    <hyperlink xmlns:r="http://schemas.openxmlformats.org/officeDocument/2006/relationships" ref="K11" r:id="rId38"/>
    <hyperlink xmlns:r="http://schemas.openxmlformats.org/officeDocument/2006/relationships" ref="L11" r:id="rId39"/>
    <hyperlink xmlns:r="http://schemas.openxmlformats.org/officeDocument/2006/relationships" ref="M11" r:id="rId40"/>
    <hyperlink xmlns:r="http://schemas.openxmlformats.org/officeDocument/2006/relationships" ref="J12" r:id="rId41"/>
    <hyperlink xmlns:r="http://schemas.openxmlformats.org/officeDocument/2006/relationships" ref="K12" r:id="rId42"/>
    <hyperlink xmlns:r="http://schemas.openxmlformats.org/officeDocument/2006/relationships" ref="L12" r:id="rId43"/>
    <hyperlink xmlns:r="http://schemas.openxmlformats.org/officeDocument/2006/relationships" ref="M12" r:id="rId44"/>
    <hyperlink xmlns:r="http://schemas.openxmlformats.org/officeDocument/2006/relationships" ref="J13" r:id="rId45"/>
    <hyperlink xmlns:r="http://schemas.openxmlformats.org/officeDocument/2006/relationships" ref="K13" r:id="rId46"/>
    <hyperlink xmlns:r="http://schemas.openxmlformats.org/officeDocument/2006/relationships" ref="L13" r:id="rId47"/>
    <hyperlink xmlns:r="http://schemas.openxmlformats.org/officeDocument/2006/relationships" ref="M13" r:id="rId48"/>
    <hyperlink xmlns:r="http://schemas.openxmlformats.org/officeDocument/2006/relationships" ref="J14" r:id="rId49"/>
    <hyperlink xmlns:r="http://schemas.openxmlformats.org/officeDocument/2006/relationships" ref="K14" r:id="rId50"/>
    <hyperlink xmlns:r="http://schemas.openxmlformats.org/officeDocument/2006/relationships" ref="L14" r:id="rId51"/>
    <hyperlink xmlns:r="http://schemas.openxmlformats.org/officeDocument/2006/relationships" ref="M14" r:id="rId52"/>
    <hyperlink xmlns:r="http://schemas.openxmlformats.org/officeDocument/2006/relationships" ref="J15" r:id="rId53"/>
    <hyperlink xmlns:r="http://schemas.openxmlformats.org/officeDocument/2006/relationships" ref="K15" r:id="rId54"/>
    <hyperlink xmlns:r="http://schemas.openxmlformats.org/officeDocument/2006/relationships" ref="L15" r:id="rId55"/>
    <hyperlink xmlns:r="http://schemas.openxmlformats.org/officeDocument/2006/relationships" ref="M15" r:id="rId56"/>
    <hyperlink xmlns:r="http://schemas.openxmlformats.org/officeDocument/2006/relationships" ref="J16" r:id="rId57"/>
    <hyperlink xmlns:r="http://schemas.openxmlformats.org/officeDocument/2006/relationships" ref="K16" r:id="rId58"/>
    <hyperlink xmlns:r="http://schemas.openxmlformats.org/officeDocument/2006/relationships" ref="L16" r:id="rId59"/>
    <hyperlink xmlns:r="http://schemas.openxmlformats.org/officeDocument/2006/relationships" ref="M16" r:id="rId60"/>
    <hyperlink xmlns:r="http://schemas.openxmlformats.org/officeDocument/2006/relationships" ref="J17" r:id="rId61"/>
    <hyperlink xmlns:r="http://schemas.openxmlformats.org/officeDocument/2006/relationships" ref="K17" r:id="rId62"/>
    <hyperlink xmlns:r="http://schemas.openxmlformats.org/officeDocument/2006/relationships" ref="L17" r:id="rId63"/>
    <hyperlink xmlns:r="http://schemas.openxmlformats.org/officeDocument/2006/relationships" ref="M17" r:id="rId64"/>
    <hyperlink xmlns:r="http://schemas.openxmlformats.org/officeDocument/2006/relationships" ref="J18" r:id="rId65"/>
    <hyperlink xmlns:r="http://schemas.openxmlformats.org/officeDocument/2006/relationships" ref="K18" r:id="rId66"/>
    <hyperlink xmlns:r="http://schemas.openxmlformats.org/officeDocument/2006/relationships" ref="L18" r:id="rId67"/>
    <hyperlink xmlns:r="http://schemas.openxmlformats.org/officeDocument/2006/relationships" ref="M18" r:id="rId68"/>
    <hyperlink xmlns:r="http://schemas.openxmlformats.org/officeDocument/2006/relationships" ref="J19" r:id="rId69"/>
    <hyperlink xmlns:r="http://schemas.openxmlformats.org/officeDocument/2006/relationships" ref="K19" r:id="rId70"/>
    <hyperlink xmlns:r="http://schemas.openxmlformats.org/officeDocument/2006/relationships" ref="L19" r:id="rId71"/>
    <hyperlink xmlns:r="http://schemas.openxmlformats.org/officeDocument/2006/relationships" ref="M19" r:id="rId72"/>
    <hyperlink xmlns:r="http://schemas.openxmlformats.org/officeDocument/2006/relationships" ref="J20" r:id="rId73"/>
    <hyperlink xmlns:r="http://schemas.openxmlformats.org/officeDocument/2006/relationships" ref="K20" r:id="rId74"/>
    <hyperlink xmlns:r="http://schemas.openxmlformats.org/officeDocument/2006/relationships" ref="L20" r:id="rId75"/>
    <hyperlink xmlns:r="http://schemas.openxmlformats.org/officeDocument/2006/relationships" ref="M20" r:id="rId76"/>
    <hyperlink xmlns:r="http://schemas.openxmlformats.org/officeDocument/2006/relationships" ref="J21" r:id="rId77"/>
    <hyperlink xmlns:r="http://schemas.openxmlformats.org/officeDocument/2006/relationships" ref="K21" r:id="rId78"/>
    <hyperlink xmlns:r="http://schemas.openxmlformats.org/officeDocument/2006/relationships" ref="L21" r:id="rId79"/>
    <hyperlink xmlns:r="http://schemas.openxmlformats.org/officeDocument/2006/relationships" ref="M21" r:id="rId80"/>
    <hyperlink xmlns:r="http://schemas.openxmlformats.org/officeDocument/2006/relationships" ref="J22" r:id="rId81"/>
    <hyperlink xmlns:r="http://schemas.openxmlformats.org/officeDocument/2006/relationships" ref="K22" r:id="rId82"/>
    <hyperlink xmlns:r="http://schemas.openxmlformats.org/officeDocument/2006/relationships" ref="L22" r:id="rId83"/>
    <hyperlink xmlns:r="http://schemas.openxmlformats.org/officeDocument/2006/relationships" ref="M22" r:id="rId84"/>
    <hyperlink xmlns:r="http://schemas.openxmlformats.org/officeDocument/2006/relationships" ref="J23" r:id="rId85"/>
    <hyperlink xmlns:r="http://schemas.openxmlformats.org/officeDocument/2006/relationships" ref="K23" r:id="rId86"/>
    <hyperlink xmlns:r="http://schemas.openxmlformats.org/officeDocument/2006/relationships" ref="L23" r:id="rId87"/>
    <hyperlink xmlns:r="http://schemas.openxmlformats.org/officeDocument/2006/relationships" ref="M23" r:id="rId88"/>
    <hyperlink xmlns:r="http://schemas.openxmlformats.org/officeDocument/2006/relationships" ref="J24" r:id="rId89"/>
    <hyperlink xmlns:r="http://schemas.openxmlformats.org/officeDocument/2006/relationships" ref="K24" r:id="rId90"/>
    <hyperlink xmlns:r="http://schemas.openxmlformats.org/officeDocument/2006/relationships" ref="L24" r:id="rId91"/>
    <hyperlink xmlns:r="http://schemas.openxmlformats.org/officeDocument/2006/relationships" ref="M24" r:id="rId92"/>
    <hyperlink xmlns:r="http://schemas.openxmlformats.org/officeDocument/2006/relationships" ref="J25" r:id="rId93"/>
    <hyperlink xmlns:r="http://schemas.openxmlformats.org/officeDocument/2006/relationships" ref="K25" r:id="rId94"/>
    <hyperlink xmlns:r="http://schemas.openxmlformats.org/officeDocument/2006/relationships" ref="L25" r:id="rId95"/>
    <hyperlink xmlns:r="http://schemas.openxmlformats.org/officeDocument/2006/relationships" ref="M25" r:id="rId96"/>
    <hyperlink xmlns:r="http://schemas.openxmlformats.org/officeDocument/2006/relationships" ref="J26" r:id="rId97"/>
    <hyperlink xmlns:r="http://schemas.openxmlformats.org/officeDocument/2006/relationships" ref="K26" r:id="rId98"/>
    <hyperlink xmlns:r="http://schemas.openxmlformats.org/officeDocument/2006/relationships" ref="L26" r:id="rId99"/>
    <hyperlink xmlns:r="http://schemas.openxmlformats.org/officeDocument/2006/relationships" ref="M26" r:id="rId100"/>
    <hyperlink xmlns:r="http://schemas.openxmlformats.org/officeDocument/2006/relationships" ref="J27" r:id="rId101"/>
    <hyperlink xmlns:r="http://schemas.openxmlformats.org/officeDocument/2006/relationships" ref="K27" r:id="rId102"/>
    <hyperlink xmlns:r="http://schemas.openxmlformats.org/officeDocument/2006/relationships" ref="L27" r:id="rId103"/>
    <hyperlink xmlns:r="http://schemas.openxmlformats.org/officeDocument/2006/relationships" ref="M27" r:id="rId104"/>
    <hyperlink xmlns:r="http://schemas.openxmlformats.org/officeDocument/2006/relationships" ref="J28" r:id="rId105"/>
    <hyperlink xmlns:r="http://schemas.openxmlformats.org/officeDocument/2006/relationships" ref="K28" r:id="rId106"/>
    <hyperlink xmlns:r="http://schemas.openxmlformats.org/officeDocument/2006/relationships" ref="L28" r:id="rId107"/>
    <hyperlink xmlns:r="http://schemas.openxmlformats.org/officeDocument/2006/relationships" ref="M28" r:id="rId108"/>
    <hyperlink xmlns:r="http://schemas.openxmlformats.org/officeDocument/2006/relationships" ref="J29" r:id="rId109"/>
    <hyperlink xmlns:r="http://schemas.openxmlformats.org/officeDocument/2006/relationships" ref="K29" r:id="rId110"/>
    <hyperlink xmlns:r="http://schemas.openxmlformats.org/officeDocument/2006/relationships" ref="L29" r:id="rId111"/>
    <hyperlink xmlns:r="http://schemas.openxmlformats.org/officeDocument/2006/relationships" ref="M29" r:id="rId112"/>
    <hyperlink xmlns:r="http://schemas.openxmlformats.org/officeDocument/2006/relationships" ref="J30" r:id="rId113"/>
    <hyperlink xmlns:r="http://schemas.openxmlformats.org/officeDocument/2006/relationships" ref="K30" r:id="rId114"/>
    <hyperlink xmlns:r="http://schemas.openxmlformats.org/officeDocument/2006/relationships" ref="L30" r:id="rId115"/>
    <hyperlink xmlns:r="http://schemas.openxmlformats.org/officeDocument/2006/relationships" ref="M30" r:id="rId116"/>
    <hyperlink xmlns:r="http://schemas.openxmlformats.org/officeDocument/2006/relationships" ref="J31" r:id="rId117"/>
    <hyperlink xmlns:r="http://schemas.openxmlformats.org/officeDocument/2006/relationships" ref="K31" r:id="rId118"/>
    <hyperlink xmlns:r="http://schemas.openxmlformats.org/officeDocument/2006/relationships" ref="L31" r:id="rId119"/>
    <hyperlink xmlns:r="http://schemas.openxmlformats.org/officeDocument/2006/relationships" ref="M31" r:id="rId120"/>
    <hyperlink xmlns:r="http://schemas.openxmlformats.org/officeDocument/2006/relationships" ref="J32" r:id="rId121"/>
    <hyperlink xmlns:r="http://schemas.openxmlformats.org/officeDocument/2006/relationships" ref="K32" r:id="rId122"/>
    <hyperlink xmlns:r="http://schemas.openxmlformats.org/officeDocument/2006/relationships" ref="L32" r:id="rId123"/>
    <hyperlink xmlns:r="http://schemas.openxmlformats.org/officeDocument/2006/relationships" ref="M32" r:id="rId124"/>
    <hyperlink xmlns:r="http://schemas.openxmlformats.org/officeDocument/2006/relationships" ref="J33" r:id="rId125"/>
    <hyperlink xmlns:r="http://schemas.openxmlformats.org/officeDocument/2006/relationships" ref="K33" r:id="rId126"/>
    <hyperlink xmlns:r="http://schemas.openxmlformats.org/officeDocument/2006/relationships" ref="L33" r:id="rId127"/>
    <hyperlink xmlns:r="http://schemas.openxmlformats.org/officeDocument/2006/relationships" ref="M33" r:id="rId128"/>
    <hyperlink xmlns:r="http://schemas.openxmlformats.org/officeDocument/2006/relationships" ref="J34" r:id="rId129"/>
    <hyperlink xmlns:r="http://schemas.openxmlformats.org/officeDocument/2006/relationships" ref="K34" r:id="rId130"/>
    <hyperlink xmlns:r="http://schemas.openxmlformats.org/officeDocument/2006/relationships" ref="L34" r:id="rId131"/>
    <hyperlink xmlns:r="http://schemas.openxmlformats.org/officeDocument/2006/relationships" ref="M34" r:id="rId132"/>
    <hyperlink xmlns:r="http://schemas.openxmlformats.org/officeDocument/2006/relationships" ref="J35" r:id="rId133"/>
    <hyperlink xmlns:r="http://schemas.openxmlformats.org/officeDocument/2006/relationships" ref="K35" r:id="rId134"/>
    <hyperlink xmlns:r="http://schemas.openxmlformats.org/officeDocument/2006/relationships" ref="L35" r:id="rId135"/>
    <hyperlink xmlns:r="http://schemas.openxmlformats.org/officeDocument/2006/relationships" ref="M35" r:id="rId136"/>
    <hyperlink xmlns:r="http://schemas.openxmlformats.org/officeDocument/2006/relationships" ref="J36" r:id="rId137"/>
    <hyperlink xmlns:r="http://schemas.openxmlformats.org/officeDocument/2006/relationships" ref="K36" r:id="rId138"/>
    <hyperlink xmlns:r="http://schemas.openxmlformats.org/officeDocument/2006/relationships" ref="L36" r:id="rId139"/>
    <hyperlink xmlns:r="http://schemas.openxmlformats.org/officeDocument/2006/relationships" ref="M36" r:id="rId140"/>
    <hyperlink xmlns:r="http://schemas.openxmlformats.org/officeDocument/2006/relationships" ref="J37" r:id="rId141"/>
    <hyperlink xmlns:r="http://schemas.openxmlformats.org/officeDocument/2006/relationships" ref="K37" r:id="rId142"/>
    <hyperlink xmlns:r="http://schemas.openxmlformats.org/officeDocument/2006/relationships" ref="L37" r:id="rId143"/>
    <hyperlink xmlns:r="http://schemas.openxmlformats.org/officeDocument/2006/relationships" ref="M37" r:id="rId144"/>
    <hyperlink xmlns:r="http://schemas.openxmlformats.org/officeDocument/2006/relationships" ref="J38" r:id="rId145"/>
    <hyperlink xmlns:r="http://schemas.openxmlformats.org/officeDocument/2006/relationships" ref="K38" r:id="rId146"/>
    <hyperlink xmlns:r="http://schemas.openxmlformats.org/officeDocument/2006/relationships" ref="L38" r:id="rId147"/>
    <hyperlink xmlns:r="http://schemas.openxmlformats.org/officeDocument/2006/relationships" ref="M38" r:id="rId148"/>
    <hyperlink xmlns:r="http://schemas.openxmlformats.org/officeDocument/2006/relationships" ref="J39" r:id="rId149"/>
    <hyperlink xmlns:r="http://schemas.openxmlformats.org/officeDocument/2006/relationships" ref="K39" r:id="rId150"/>
    <hyperlink xmlns:r="http://schemas.openxmlformats.org/officeDocument/2006/relationships" ref="L39" r:id="rId151"/>
    <hyperlink xmlns:r="http://schemas.openxmlformats.org/officeDocument/2006/relationships" ref="M39" r:id="rId152"/>
    <hyperlink xmlns:r="http://schemas.openxmlformats.org/officeDocument/2006/relationships" ref="J40" r:id="rId153"/>
    <hyperlink xmlns:r="http://schemas.openxmlformats.org/officeDocument/2006/relationships" ref="K40" r:id="rId154"/>
    <hyperlink xmlns:r="http://schemas.openxmlformats.org/officeDocument/2006/relationships" ref="L40" r:id="rId155"/>
    <hyperlink xmlns:r="http://schemas.openxmlformats.org/officeDocument/2006/relationships" ref="M40" r:id="rId156"/>
    <hyperlink xmlns:r="http://schemas.openxmlformats.org/officeDocument/2006/relationships" ref="J41" r:id="rId157"/>
    <hyperlink xmlns:r="http://schemas.openxmlformats.org/officeDocument/2006/relationships" ref="K41" r:id="rId158"/>
    <hyperlink xmlns:r="http://schemas.openxmlformats.org/officeDocument/2006/relationships" ref="L41" r:id="rId159"/>
    <hyperlink xmlns:r="http://schemas.openxmlformats.org/officeDocument/2006/relationships" ref="M41" r:id="rId160"/>
    <hyperlink xmlns:r="http://schemas.openxmlformats.org/officeDocument/2006/relationships" ref="J42" r:id="rId161"/>
    <hyperlink xmlns:r="http://schemas.openxmlformats.org/officeDocument/2006/relationships" ref="K42" r:id="rId162"/>
    <hyperlink xmlns:r="http://schemas.openxmlformats.org/officeDocument/2006/relationships" ref="L42" r:id="rId163"/>
    <hyperlink xmlns:r="http://schemas.openxmlformats.org/officeDocument/2006/relationships" ref="M42" r:id="rId164"/>
    <hyperlink xmlns:r="http://schemas.openxmlformats.org/officeDocument/2006/relationships" ref="J43" r:id="rId165"/>
    <hyperlink xmlns:r="http://schemas.openxmlformats.org/officeDocument/2006/relationships" ref="K43" r:id="rId166"/>
    <hyperlink xmlns:r="http://schemas.openxmlformats.org/officeDocument/2006/relationships" ref="L43" r:id="rId167"/>
    <hyperlink xmlns:r="http://schemas.openxmlformats.org/officeDocument/2006/relationships" ref="M43" r:id="rId168"/>
    <hyperlink xmlns:r="http://schemas.openxmlformats.org/officeDocument/2006/relationships" ref="J44" r:id="rId169"/>
    <hyperlink xmlns:r="http://schemas.openxmlformats.org/officeDocument/2006/relationships" ref="K44" r:id="rId170"/>
    <hyperlink xmlns:r="http://schemas.openxmlformats.org/officeDocument/2006/relationships" ref="L44" r:id="rId171"/>
    <hyperlink xmlns:r="http://schemas.openxmlformats.org/officeDocument/2006/relationships" ref="M44" r:id="rId172"/>
    <hyperlink xmlns:r="http://schemas.openxmlformats.org/officeDocument/2006/relationships" ref="J45" r:id="rId173"/>
    <hyperlink xmlns:r="http://schemas.openxmlformats.org/officeDocument/2006/relationships" ref="K45" r:id="rId174"/>
    <hyperlink xmlns:r="http://schemas.openxmlformats.org/officeDocument/2006/relationships" ref="L45" r:id="rId175"/>
    <hyperlink xmlns:r="http://schemas.openxmlformats.org/officeDocument/2006/relationships" ref="M45" r:id="rId176"/>
    <hyperlink xmlns:r="http://schemas.openxmlformats.org/officeDocument/2006/relationships" ref="J46" r:id="rId177"/>
    <hyperlink xmlns:r="http://schemas.openxmlformats.org/officeDocument/2006/relationships" ref="K46" r:id="rId178"/>
    <hyperlink xmlns:r="http://schemas.openxmlformats.org/officeDocument/2006/relationships" ref="L46" r:id="rId179"/>
    <hyperlink xmlns:r="http://schemas.openxmlformats.org/officeDocument/2006/relationships" ref="M46" r:id="rId180"/>
    <hyperlink xmlns:r="http://schemas.openxmlformats.org/officeDocument/2006/relationships" ref="J47" r:id="rId181"/>
    <hyperlink xmlns:r="http://schemas.openxmlformats.org/officeDocument/2006/relationships" ref="K47" r:id="rId182"/>
    <hyperlink xmlns:r="http://schemas.openxmlformats.org/officeDocument/2006/relationships" ref="L47" r:id="rId183"/>
    <hyperlink xmlns:r="http://schemas.openxmlformats.org/officeDocument/2006/relationships" ref="M47" r:id="rId184"/>
    <hyperlink xmlns:r="http://schemas.openxmlformats.org/officeDocument/2006/relationships" ref="J48" r:id="rId185"/>
    <hyperlink xmlns:r="http://schemas.openxmlformats.org/officeDocument/2006/relationships" ref="K48" r:id="rId186"/>
    <hyperlink xmlns:r="http://schemas.openxmlformats.org/officeDocument/2006/relationships" ref="L48" r:id="rId187"/>
    <hyperlink xmlns:r="http://schemas.openxmlformats.org/officeDocument/2006/relationships" ref="M48" r:id="rId188"/>
    <hyperlink xmlns:r="http://schemas.openxmlformats.org/officeDocument/2006/relationships" ref="J49" r:id="rId189"/>
    <hyperlink xmlns:r="http://schemas.openxmlformats.org/officeDocument/2006/relationships" ref="K49" r:id="rId190"/>
    <hyperlink xmlns:r="http://schemas.openxmlformats.org/officeDocument/2006/relationships" ref="L49" r:id="rId191"/>
    <hyperlink xmlns:r="http://schemas.openxmlformats.org/officeDocument/2006/relationships" ref="M49" r:id="rId192"/>
    <hyperlink xmlns:r="http://schemas.openxmlformats.org/officeDocument/2006/relationships" ref="J50" r:id="rId193"/>
    <hyperlink xmlns:r="http://schemas.openxmlformats.org/officeDocument/2006/relationships" ref="K50" r:id="rId194"/>
    <hyperlink xmlns:r="http://schemas.openxmlformats.org/officeDocument/2006/relationships" ref="L50" r:id="rId195"/>
    <hyperlink xmlns:r="http://schemas.openxmlformats.org/officeDocument/2006/relationships" ref="M50" r:id="rId196"/>
    <hyperlink xmlns:r="http://schemas.openxmlformats.org/officeDocument/2006/relationships" ref="J51" r:id="rId197"/>
    <hyperlink xmlns:r="http://schemas.openxmlformats.org/officeDocument/2006/relationships" ref="K51" r:id="rId198"/>
    <hyperlink xmlns:r="http://schemas.openxmlformats.org/officeDocument/2006/relationships" ref="L51" r:id="rId199"/>
    <hyperlink xmlns:r="http://schemas.openxmlformats.org/officeDocument/2006/relationships" ref="M51" r:id="rId200"/>
    <hyperlink xmlns:r="http://schemas.openxmlformats.org/officeDocument/2006/relationships" ref="J52" r:id="rId201"/>
    <hyperlink xmlns:r="http://schemas.openxmlformats.org/officeDocument/2006/relationships" ref="K52" r:id="rId202"/>
    <hyperlink xmlns:r="http://schemas.openxmlformats.org/officeDocument/2006/relationships" ref="L52" r:id="rId203"/>
    <hyperlink xmlns:r="http://schemas.openxmlformats.org/officeDocument/2006/relationships" ref="M52" r:id="rId204"/>
    <hyperlink xmlns:r="http://schemas.openxmlformats.org/officeDocument/2006/relationships" ref="J53" r:id="rId205"/>
    <hyperlink xmlns:r="http://schemas.openxmlformats.org/officeDocument/2006/relationships" ref="K53" r:id="rId206"/>
    <hyperlink xmlns:r="http://schemas.openxmlformats.org/officeDocument/2006/relationships" ref="L53" r:id="rId207"/>
    <hyperlink xmlns:r="http://schemas.openxmlformats.org/officeDocument/2006/relationships" ref="M53" r:id="rId208"/>
    <hyperlink xmlns:r="http://schemas.openxmlformats.org/officeDocument/2006/relationships" ref="J54" r:id="rId209"/>
    <hyperlink xmlns:r="http://schemas.openxmlformats.org/officeDocument/2006/relationships" ref="K54" r:id="rId210"/>
    <hyperlink xmlns:r="http://schemas.openxmlformats.org/officeDocument/2006/relationships" ref="L54" r:id="rId211"/>
    <hyperlink xmlns:r="http://schemas.openxmlformats.org/officeDocument/2006/relationships" ref="M54" r:id="rId212"/>
    <hyperlink xmlns:r="http://schemas.openxmlformats.org/officeDocument/2006/relationships" ref="J55" r:id="rId213"/>
    <hyperlink xmlns:r="http://schemas.openxmlformats.org/officeDocument/2006/relationships" ref="K55" r:id="rId214"/>
    <hyperlink xmlns:r="http://schemas.openxmlformats.org/officeDocument/2006/relationships" ref="L55" r:id="rId215"/>
    <hyperlink xmlns:r="http://schemas.openxmlformats.org/officeDocument/2006/relationships" ref="M55" r:id="rId216"/>
    <hyperlink xmlns:r="http://schemas.openxmlformats.org/officeDocument/2006/relationships" ref="J56" r:id="rId217"/>
    <hyperlink xmlns:r="http://schemas.openxmlformats.org/officeDocument/2006/relationships" ref="K56" r:id="rId218"/>
    <hyperlink xmlns:r="http://schemas.openxmlformats.org/officeDocument/2006/relationships" ref="L56" r:id="rId219"/>
    <hyperlink xmlns:r="http://schemas.openxmlformats.org/officeDocument/2006/relationships" ref="M56" r:id="rId220"/>
    <hyperlink xmlns:r="http://schemas.openxmlformats.org/officeDocument/2006/relationships" ref="J57" r:id="rId221"/>
    <hyperlink xmlns:r="http://schemas.openxmlformats.org/officeDocument/2006/relationships" ref="K57" r:id="rId222"/>
    <hyperlink xmlns:r="http://schemas.openxmlformats.org/officeDocument/2006/relationships" ref="L57" r:id="rId223"/>
    <hyperlink xmlns:r="http://schemas.openxmlformats.org/officeDocument/2006/relationships" ref="M57" r:id="rId224"/>
    <hyperlink xmlns:r="http://schemas.openxmlformats.org/officeDocument/2006/relationships" ref="J58" r:id="rId225"/>
    <hyperlink xmlns:r="http://schemas.openxmlformats.org/officeDocument/2006/relationships" ref="K58" r:id="rId226"/>
    <hyperlink xmlns:r="http://schemas.openxmlformats.org/officeDocument/2006/relationships" ref="L58" r:id="rId227"/>
    <hyperlink xmlns:r="http://schemas.openxmlformats.org/officeDocument/2006/relationships" ref="M58" r:id="rId228"/>
    <hyperlink xmlns:r="http://schemas.openxmlformats.org/officeDocument/2006/relationships" ref="J59" r:id="rId229"/>
    <hyperlink xmlns:r="http://schemas.openxmlformats.org/officeDocument/2006/relationships" ref="K59" r:id="rId230"/>
    <hyperlink xmlns:r="http://schemas.openxmlformats.org/officeDocument/2006/relationships" ref="L59" r:id="rId231"/>
    <hyperlink xmlns:r="http://schemas.openxmlformats.org/officeDocument/2006/relationships" ref="M59" r:id="rId232"/>
    <hyperlink xmlns:r="http://schemas.openxmlformats.org/officeDocument/2006/relationships" ref="J60" r:id="rId233"/>
    <hyperlink xmlns:r="http://schemas.openxmlformats.org/officeDocument/2006/relationships" ref="K60" r:id="rId234"/>
    <hyperlink xmlns:r="http://schemas.openxmlformats.org/officeDocument/2006/relationships" ref="L60" r:id="rId235"/>
    <hyperlink xmlns:r="http://schemas.openxmlformats.org/officeDocument/2006/relationships" ref="M60" r:id="rId236"/>
    <hyperlink xmlns:r="http://schemas.openxmlformats.org/officeDocument/2006/relationships" ref="J61" r:id="rId237"/>
    <hyperlink xmlns:r="http://schemas.openxmlformats.org/officeDocument/2006/relationships" ref="K61" r:id="rId238"/>
    <hyperlink xmlns:r="http://schemas.openxmlformats.org/officeDocument/2006/relationships" ref="L61" r:id="rId239"/>
    <hyperlink xmlns:r="http://schemas.openxmlformats.org/officeDocument/2006/relationships" ref="M61" r:id="rId240"/>
  </hyperlinks>
  <pageMargins left="0.75" right="0.75" top="1" bottom="1" header="0.5" footer="0.5"/>
  <tableParts count="1">
    <tablePart xmlns:r="http://schemas.openxmlformats.org/officeDocument/2006/relationships" r:id="rId241"/>
  </tableParts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전체 진행 요약</t>
        </is>
      </c>
      <c r="B1" s="1" t="inlineStr">
        <is>
          <t>값</t>
        </is>
      </c>
    </row>
    <row r="2">
      <c r="A2" t="inlineStr">
        <is>
          <t>총 발화</t>
        </is>
      </c>
      <c r="B2">
        <f>COUNTA('검토입력'!$D$2:$D$61)</f>
        <v/>
      </c>
    </row>
    <row r="3">
      <c r="A3" t="inlineStr">
        <is>
          <t>검토 완료</t>
        </is>
      </c>
      <c r="B3">
        <f>COUNTIF('검토입력'!$Z$2:$Z$61,"완료")</f>
        <v/>
      </c>
    </row>
    <row r="4">
      <c r="A4" t="inlineStr">
        <is>
          <t>진행률</t>
        </is>
      </c>
      <c r="B4" s="13">
        <f>IFERROR(B3/B2,0)</f>
        <v/>
      </c>
    </row>
    <row r="5">
      <c r="A5" t="inlineStr">
        <is>
          <t>통과</t>
        </is>
      </c>
      <c r="B5">
        <f>COUNTIF('검토입력'!$U$2:$U$61,"통과")</f>
        <v/>
      </c>
    </row>
    <row r="6">
      <c r="A6" t="inlineStr">
        <is>
          <t>수정 필요</t>
        </is>
      </c>
      <c r="B6">
        <f>COUNTIF('검토입력'!$U$2:$U$61,"수정 필요")</f>
        <v/>
      </c>
    </row>
    <row r="7">
      <c r="A7" t="inlineStr">
        <is>
          <t>보류</t>
        </is>
      </c>
      <c r="B7">
        <f>COUNTIF('검토입력'!$U$2:$U$61,"보류")</f>
        <v/>
      </c>
    </row>
    <row r="8">
      <c r="A8" t="inlineStr">
        <is>
          <t>재검토</t>
        </is>
      </c>
      <c r="B8">
        <f>COUNTIF('검토입력'!$V$2:$V$61,"예")</f>
        <v/>
      </c>
    </row>
    <row r="9">
      <c r="A9" t="inlineStr">
        <is>
          <t>상태</t>
        </is>
      </c>
      <c r="B9">
        <f>IF(B3=B2,"전체 검토 완료","검토 진행 중")</f>
        <v/>
      </c>
    </row>
    <row r="11">
      <c r="A11" s="1" t="inlineStr">
        <is>
          <t>연도</t>
        </is>
      </c>
      <c r="B11" s="1" t="inlineStr">
        <is>
          <t>대상</t>
        </is>
      </c>
      <c r="C11" s="1" t="inlineStr">
        <is>
          <t>완료</t>
        </is>
      </c>
      <c r="D11" s="1" t="inlineStr">
        <is>
          <t>진행률</t>
        </is>
      </c>
      <c r="E11" s="1" t="inlineStr">
        <is>
          <t>통과</t>
        </is>
      </c>
      <c r="F11" s="1" t="inlineStr">
        <is>
          <t>수정 필요</t>
        </is>
      </c>
      <c r="G11" s="1" t="inlineStr">
        <is>
          <t>보류</t>
        </is>
      </c>
    </row>
    <row r="12">
      <c r="A12" t="n">
        <v>2020</v>
      </c>
      <c r="B12">
        <f>COUNTIF('검토입력'!$C$2:$C$61,A12)</f>
        <v/>
      </c>
      <c r="C12">
        <f>COUNTIFS('검토입력'!$C$2:$C$61,A12,'검토입력'!$Z$2:$Z$61,"완료")</f>
        <v/>
      </c>
      <c r="D12" s="13">
        <f>IFERROR(C12/B12,0)</f>
        <v/>
      </c>
      <c r="E12">
        <f>COUNTIFS('검토입력'!$C$2:$C$61,A12,'검토입력'!$U$2:$U$61,"통과")</f>
        <v/>
      </c>
      <c r="F12">
        <f>COUNTIFS('검토입력'!$C$2:$C$61,A12,'검토입력'!$U$2:$U$61,"수정 필요")</f>
        <v/>
      </c>
      <c r="G12">
        <f>COUNTIFS('검토입력'!$C$2:$C$61,A12,'검토입력'!$U$2:$U$61,"보류")</f>
        <v/>
      </c>
    </row>
    <row r="13">
      <c r="A13" t="n">
        <v>2021</v>
      </c>
      <c r="B13">
        <f>COUNTIF('검토입력'!$C$2:$C$61,A13)</f>
        <v/>
      </c>
      <c r="C13">
        <f>COUNTIFS('검토입력'!$C$2:$C$61,A13,'검토입력'!$Z$2:$Z$61,"완료")</f>
        <v/>
      </c>
      <c r="D13" s="13">
        <f>IFERROR(C13/B13,0)</f>
        <v/>
      </c>
      <c r="E13">
        <f>COUNTIFS('검토입력'!$C$2:$C$61,A13,'검토입력'!$U$2:$U$61,"통과")</f>
        <v/>
      </c>
      <c r="F13">
        <f>COUNTIFS('검토입력'!$C$2:$C$61,A13,'검토입력'!$U$2:$U$61,"수정 필요")</f>
        <v/>
      </c>
      <c r="G13">
        <f>COUNTIFS('검토입력'!$C$2:$C$61,A13,'검토입력'!$U$2:$U$61,"보류")</f>
        <v/>
      </c>
    </row>
    <row r="14">
      <c r="A14" t="n">
        <v>2022</v>
      </c>
      <c r="B14">
        <f>COUNTIF('검토입력'!$C$2:$C$61,A14)</f>
        <v/>
      </c>
      <c r="C14">
        <f>COUNTIFS('검토입력'!$C$2:$C$61,A14,'검토입력'!$Z$2:$Z$61,"완료")</f>
        <v/>
      </c>
      <c r="D14" s="13">
        <f>IFERROR(C14/B14,0)</f>
        <v/>
      </c>
      <c r="E14">
        <f>COUNTIFS('검토입력'!$C$2:$C$61,A14,'검토입력'!$U$2:$U$61,"통과")</f>
        <v/>
      </c>
      <c r="F14">
        <f>COUNTIFS('검토입력'!$C$2:$C$61,A14,'검토입력'!$U$2:$U$61,"수정 필요")</f>
        <v/>
      </c>
      <c r="G14">
        <f>COUNTIFS('검토입력'!$C$2:$C$61,A14,'검토입력'!$U$2:$U$61,"보류")</f>
        <v/>
      </c>
    </row>
    <row r="15">
      <c r="A15" t="n">
        <v>2023</v>
      </c>
      <c r="B15">
        <f>COUNTIF('검토입력'!$C$2:$C$61,A15)</f>
        <v/>
      </c>
      <c r="C15">
        <f>COUNTIFS('검토입력'!$C$2:$C$61,A15,'검토입력'!$Z$2:$Z$61,"완료")</f>
        <v/>
      </c>
      <c r="D15" s="13">
        <f>IFERROR(C15/B15,0)</f>
        <v/>
      </c>
      <c r="E15">
        <f>COUNTIFS('검토입력'!$C$2:$C$61,A15,'검토입력'!$U$2:$U$61,"통과")</f>
        <v/>
      </c>
      <c r="F15">
        <f>COUNTIFS('검토입력'!$C$2:$C$61,A15,'검토입력'!$U$2:$U$61,"수정 필요")</f>
        <v/>
      </c>
      <c r="G15">
        <f>COUNTIFS('검토입력'!$C$2:$C$61,A15,'검토입력'!$U$2:$U$61,"보류")</f>
        <v/>
      </c>
    </row>
    <row r="16">
      <c r="A16" t="n">
        <v>2024</v>
      </c>
      <c r="B16">
        <f>COUNTIF('검토입력'!$C$2:$C$61,A16)</f>
        <v/>
      </c>
      <c r="C16">
        <f>COUNTIFS('검토입력'!$C$2:$C$61,A16,'검토입력'!$Z$2:$Z$61,"완료")</f>
        <v/>
      </c>
      <c r="D16" s="13">
        <f>IFERROR(C16/B16,0)</f>
        <v/>
      </c>
      <c r="E16">
        <f>COUNTIFS('검토입력'!$C$2:$C$61,A16,'검토입력'!$U$2:$U$61,"통과")</f>
        <v/>
      </c>
      <c r="F16">
        <f>COUNTIFS('검토입력'!$C$2:$C$61,A16,'검토입력'!$U$2:$U$61,"수정 필요")</f>
        <v/>
      </c>
      <c r="G16">
        <f>COUNTIFS('검토입력'!$C$2:$C$61,A16,'검토입력'!$U$2:$U$61,"보류")</f>
        <v/>
      </c>
    </row>
    <row r="17">
      <c r="A17" t="n">
        <v>2025</v>
      </c>
      <c r="B17">
        <f>COUNTIF('검토입력'!$C$2:$C$61,A17)</f>
        <v/>
      </c>
      <c r="C17">
        <f>COUNTIFS('검토입력'!$C$2:$C$61,A17,'검토입력'!$Z$2:$Z$61,"완료")</f>
        <v/>
      </c>
      <c r="D17" s="13">
        <f>IFERROR(C17/B17,0)</f>
        <v/>
      </c>
      <c r="E17">
        <f>COUNTIFS('검토입력'!$C$2:$C$61,A17,'검토입력'!$U$2:$U$61,"통과")</f>
        <v/>
      </c>
      <c r="F17">
        <f>COUNTIFS('검토입력'!$C$2:$C$61,A17,'검토입력'!$U$2:$U$61,"수정 필요")</f>
        <v/>
      </c>
      <c r="G17">
        <f>COUNTIFS('검토입력'!$C$2:$C$61,A17,'검토입력'!$U$2:$U$61,"보류")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A5A5A5"/>
    <outlinePr summaryBelow="1" summaryRight="1"/>
    <pageSetUpPr/>
  </sheetPr>
  <dimension ref="A1:Y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35" customWidth="1" min="10" max="10"/>
    <col width="35" customWidth="1" min="11" max="11"/>
    <col width="18" customWidth="1" min="12" max="12"/>
    <col width="18" customWidth="1" min="13" max="13"/>
    <col width="35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42" customWidth="1" min="20" max="20"/>
    <col width="42" customWidth="1" min="21" max="21"/>
    <col width="42" customWidth="1" min="22" max="22"/>
    <col width="42" customWidth="1" min="23" max="23"/>
    <col width="18" customWidth="1" min="24" max="24"/>
    <col width="18" customWidth="1" min="25" max="25"/>
  </cols>
  <sheetData>
    <row r="1">
      <c r="A1" s="1" t="inlineStr">
        <is>
          <t>year</t>
        </is>
      </c>
      <c r="B1" s="1" t="inlineStr">
        <is>
          <t>speaker_id</t>
        </is>
      </c>
      <c r="C1" s="1" t="inlineStr">
        <is>
          <t>session_id</t>
        </is>
      </c>
      <c r="D1" s="1" t="inlineStr">
        <is>
          <t>dialogue_id</t>
        </is>
      </c>
      <c r="E1" s="1" t="inlineStr">
        <is>
          <t>dialogue_speaker_ids</t>
        </is>
      </c>
      <c r="F1" s="1" t="inlineStr">
        <is>
          <t>n_dialogue_speakers</t>
        </is>
      </c>
      <c r="G1" s="1" t="inlineStr">
        <is>
          <t>co_speaker_ids</t>
        </is>
      </c>
      <c r="H1" s="1" t="inlineStr">
        <is>
          <t>n_co_speakers</t>
        </is>
      </c>
      <c r="I1" s="1" t="inlineStr">
        <is>
          <t>utt_id</t>
        </is>
      </c>
      <c r="J1" s="1" t="inlineStr">
        <is>
          <t>form</t>
        </is>
      </c>
      <c r="K1" s="1" t="inlineStr">
        <is>
          <t>original_form</t>
        </is>
      </c>
      <c r="L1" s="1" t="inlineStr">
        <is>
          <t>pron_pred_hangul_existing</t>
        </is>
      </c>
      <c r="M1" s="1" t="inlineStr">
        <is>
          <t>pron_reference_form</t>
        </is>
      </c>
      <c r="N1" s="1" t="inlineStr">
        <is>
          <t>pron_reference_hangul</t>
        </is>
      </c>
      <c r="O1" s="1" t="inlineStr">
        <is>
          <t>pron_reference_source</t>
        </is>
      </c>
      <c r="P1" s="1" t="inlineStr">
        <is>
          <t>pron_reference_status</t>
        </is>
      </c>
      <c r="Q1" s="1" t="inlineStr">
        <is>
          <t>original_form_align_status</t>
        </is>
      </c>
      <c r="R1" s="1" t="inlineStr">
        <is>
          <t>pron_reference_align_status</t>
        </is>
      </c>
      <c r="S1" s="1" t="inlineStr">
        <is>
          <t>tier_warning</t>
        </is>
      </c>
      <c r="T1" s="1" t="inlineStr">
        <is>
          <t>wav_relpath</t>
        </is>
      </c>
      <c r="U1" s="1" t="inlineStr">
        <is>
          <t>lab_relpath</t>
        </is>
      </c>
      <c r="V1" s="1" t="inlineStr">
        <is>
          <t>textgrid_relpath</t>
        </is>
      </c>
      <c r="W1" s="1" t="inlineStr">
        <is>
          <t>csv_relpath</t>
        </is>
      </c>
      <c r="X1" s="1" t="inlineStr">
        <is>
          <t>review_status</t>
        </is>
      </c>
      <c r="Y1" s="1" t="inlineStr">
        <is>
          <t>review_note</t>
        </is>
      </c>
    </row>
    <row r="2">
      <c r="A2" s="3" t="inlineStr">
        <is>
          <t>2020</t>
        </is>
      </c>
      <c r="B2" s="3" t="inlineStr">
        <is>
          <t>SD2001178</t>
        </is>
      </c>
      <c r="C2" s="3" t="inlineStr">
        <is>
          <t>SDRW2000000762</t>
        </is>
      </c>
      <c r="D2" s="3" t="inlineStr">
        <is>
          <t>SDRW2000000762.1</t>
        </is>
      </c>
      <c r="E2" s="3" t="inlineStr">
        <is>
          <t>SD2001178 | SD2001179</t>
        </is>
      </c>
      <c r="F2" s="3" t="inlineStr">
        <is>
          <t>2</t>
        </is>
      </c>
      <c r="G2" s="3" t="inlineStr">
        <is>
          <t>SD2001179</t>
        </is>
      </c>
      <c r="H2" s="3" t="inlineStr">
        <is>
          <t>1</t>
        </is>
      </c>
      <c r="I2" s="3" t="inlineStr">
        <is>
          <t>SDRW2000000762.1.1.178</t>
        </is>
      </c>
      <c r="J2" s="3" t="inlineStr">
        <is>
          <t>근데 그 행위 자체가</t>
        </is>
      </c>
      <c r="K2" s="3" t="inlineStr">
        <is>
          <t>근데 그 행위 자체가</t>
        </is>
      </c>
      <c r="L2" s="3" t="inlineStr">
        <is>
          <t>근데 그 행위 자체가</t>
        </is>
      </c>
      <c r="M2" s="3" t="inlineStr">
        <is>
          <t>근데 그 행위 자체가</t>
        </is>
      </c>
      <c r="N2" s="3" t="inlineStr">
        <is>
          <t>근데 그 행위 자체가</t>
        </is>
      </c>
      <c r="O2" s="3" t="inlineStr">
        <is>
          <t>form_rule_prediction</t>
        </is>
      </c>
      <c r="P2" s="3" t="inlineStr">
        <is>
          <t>resolved_form</t>
        </is>
      </c>
      <c r="Q2" s="3" t="inlineStr">
        <is>
          <t>all_lexical_slots</t>
        </is>
      </c>
      <c r="R2" s="3" t="inlineStr">
        <is>
          <t>all_lexical_slots</t>
        </is>
      </c>
      <c r="S2" s="3" t="inlineStr"/>
      <c r="T2" s="3" t="inlineStr">
        <is>
          <t>2020\SDRW2000000762.1.1.178.wav</t>
        </is>
      </c>
      <c r="U2" s="3" t="inlineStr">
        <is>
          <t>2020\SDRW2000000762.1.1.178.lab</t>
        </is>
      </c>
      <c r="V2" s="3" t="inlineStr">
        <is>
          <t>2020\SDRW2000000762.1.1.178.TextGrid</t>
        </is>
      </c>
      <c r="W2" s="3" t="inlineStr">
        <is>
          <t>2020\SDRW2000000762.1.1.178.csv</t>
        </is>
      </c>
      <c r="X2" s="3" t="inlineStr"/>
      <c r="Y2" s="3" t="inlineStr"/>
    </row>
    <row r="3">
      <c r="A3" s="3" t="inlineStr">
        <is>
          <t>2020</t>
        </is>
      </c>
      <c r="B3" s="3" t="inlineStr">
        <is>
          <t>SD2001178</t>
        </is>
      </c>
      <c r="C3" s="3" t="inlineStr">
        <is>
          <t>SDRW2000000762</t>
        </is>
      </c>
      <c r="D3" s="3" t="inlineStr">
        <is>
          <t>SDRW2000000762.1</t>
        </is>
      </c>
      <c r="E3" s="3" t="inlineStr">
        <is>
          <t>SD2001178 | SD2001179</t>
        </is>
      </c>
      <c r="F3" s="3" t="inlineStr">
        <is>
          <t>2</t>
        </is>
      </c>
      <c r="G3" s="3" t="inlineStr">
        <is>
          <t>SD2001179</t>
        </is>
      </c>
      <c r="H3" s="3" t="inlineStr">
        <is>
          <t>1</t>
        </is>
      </c>
      <c r="I3" s="3" t="inlineStr">
        <is>
          <t>SDRW2000000762.1.1.193</t>
        </is>
      </c>
      <c r="J3" s="3" t="inlineStr">
        <is>
          <t>임차인이 임차를 하고 있 있는 와중에도</t>
        </is>
      </c>
      <c r="K3" s="3" t="inlineStr">
        <is>
          <t>임차인이 임차를 하고 -있- 있는 와중에도</t>
        </is>
      </c>
      <c r="L3" s="3" t="inlineStr">
        <is>
          <t>임차이니 임차를 하고 읻 인는 와중에도</t>
        </is>
      </c>
      <c r="M3" s="3" t="inlineStr">
        <is>
          <t>임차인이 임차를 하고 있 있는 와중에도</t>
        </is>
      </c>
      <c r="N3" s="3" t="inlineStr">
        <is>
          <t>임차이니 임차를 하고 읻 인는 와중에도</t>
        </is>
      </c>
      <c r="O3" s="3" t="inlineStr">
        <is>
          <t>form_rule_prediction</t>
        </is>
      </c>
      <c r="P3" s="3" t="inlineStr">
        <is>
          <t>resolved_form</t>
        </is>
      </c>
      <c r="Q3" s="3" t="inlineStr">
        <is>
          <t>all_lexical_slots</t>
        </is>
      </c>
      <c r="R3" s="3" t="inlineStr">
        <is>
          <t>all_lexical_slots</t>
        </is>
      </c>
      <c r="S3" s="3" t="inlineStr"/>
      <c r="T3" s="3" t="inlineStr">
        <is>
          <t>2020\SDRW2000000762.1.1.193.wav</t>
        </is>
      </c>
      <c r="U3" s="3" t="inlineStr">
        <is>
          <t>2020\SDRW2000000762.1.1.193.lab</t>
        </is>
      </c>
      <c r="V3" s="3" t="inlineStr">
        <is>
          <t>2020\SDRW2000000762.1.1.193.TextGrid</t>
        </is>
      </c>
      <c r="W3" s="3" t="inlineStr">
        <is>
          <t>2020\SDRW2000000762.1.1.193.csv</t>
        </is>
      </c>
      <c r="X3" s="3" t="inlineStr"/>
      <c r="Y3" s="3" t="inlineStr"/>
    </row>
    <row r="4">
      <c r="A4" s="3" t="inlineStr">
        <is>
          <t>2020</t>
        </is>
      </c>
      <c r="B4" s="3" t="inlineStr">
        <is>
          <t>SD2001202</t>
        </is>
      </c>
      <c r="C4" s="3" t="inlineStr">
        <is>
          <t>SDRW2000001052</t>
        </is>
      </c>
      <c r="D4" s="3" t="inlineStr">
        <is>
          <t>SDRW2000001052.1</t>
        </is>
      </c>
      <c r="E4" s="3" t="inlineStr">
        <is>
          <t>SD2001202 | SD2001203</t>
        </is>
      </c>
      <c r="F4" s="3" t="inlineStr">
        <is>
          <t>2</t>
        </is>
      </c>
      <c r="G4" s="3" t="inlineStr">
        <is>
          <t>SD2001203</t>
        </is>
      </c>
      <c r="H4" s="3" t="inlineStr">
        <is>
          <t>1</t>
        </is>
      </c>
      <c r="I4" s="3" t="inlineStr">
        <is>
          <t>SDRW2000001052.1.1.105</t>
        </is>
      </c>
      <c r="J4" s="3" t="inlineStr">
        <is>
          <t>이런 걸</t>
        </is>
      </c>
      <c r="K4" s="3" t="inlineStr">
        <is>
          <t>이런 걸</t>
        </is>
      </c>
      <c r="L4" s="3" t="inlineStr">
        <is>
          <t>이런 걸</t>
        </is>
      </c>
      <c r="M4" s="3" t="inlineStr">
        <is>
          <t>이런 걸</t>
        </is>
      </c>
      <c r="N4" s="3" t="inlineStr">
        <is>
          <t>이런 걸</t>
        </is>
      </c>
      <c r="O4" s="3" t="inlineStr">
        <is>
          <t>form_rule_prediction</t>
        </is>
      </c>
      <c r="P4" s="3" t="inlineStr">
        <is>
          <t>resolved_form</t>
        </is>
      </c>
      <c r="Q4" s="3" t="inlineStr">
        <is>
          <t>all_lexical_slots</t>
        </is>
      </c>
      <c r="R4" s="3" t="inlineStr">
        <is>
          <t>all_lexical_slots</t>
        </is>
      </c>
      <c r="S4" s="3" t="inlineStr"/>
      <c r="T4" s="3" t="inlineStr">
        <is>
          <t>2020\SDRW2000001052.1.1.105.wav</t>
        </is>
      </c>
      <c r="U4" s="3" t="inlineStr">
        <is>
          <t>2020\SDRW2000001052.1.1.105.lab</t>
        </is>
      </c>
      <c r="V4" s="3" t="inlineStr">
        <is>
          <t>2020\SDRW2000001052.1.1.105.TextGrid</t>
        </is>
      </c>
      <c r="W4" s="3" t="inlineStr">
        <is>
          <t>2020\SDRW2000001052.1.1.105.csv</t>
        </is>
      </c>
      <c r="X4" s="3" t="inlineStr"/>
      <c r="Y4" s="3" t="inlineStr"/>
    </row>
    <row r="5">
      <c r="A5" s="3" t="inlineStr">
        <is>
          <t>2020</t>
        </is>
      </c>
      <c r="B5" s="3" t="inlineStr">
        <is>
          <t>SD2001202</t>
        </is>
      </c>
      <c r="C5" s="3" t="inlineStr">
        <is>
          <t>SDRW2000001052</t>
        </is>
      </c>
      <c r="D5" s="3" t="inlineStr">
        <is>
          <t>SDRW2000001052.1</t>
        </is>
      </c>
      <c r="E5" s="3" t="inlineStr">
        <is>
          <t>SD2001202 | SD2001203</t>
        </is>
      </c>
      <c r="F5" s="3" t="inlineStr">
        <is>
          <t>2</t>
        </is>
      </c>
      <c r="G5" s="3" t="inlineStr">
        <is>
          <t>SD2001203</t>
        </is>
      </c>
      <c r="H5" s="3" t="inlineStr">
        <is>
          <t>1</t>
        </is>
      </c>
      <c r="I5" s="3" t="inlineStr">
        <is>
          <t>SDRW2000001052.1.1.200</t>
        </is>
      </c>
      <c r="J5" s="3" t="inlineStr">
        <is>
          <t>그런 발주를 맡기면서</t>
        </is>
      </c>
      <c r="K5" s="3" t="inlineStr">
        <is>
          <t>그런 발주를 맡기면서</t>
        </is>
      </c>
      <c r="L5" s="3" t="inlineStr">
        <is>
          <t>그런 발주를 맏끼면서</t>
        </is>
      </c>
      <c r="M5" s="3" t="inlineStr">
        <is>
          <t>그런 발주를 맡기면서</t>
        </is>
      </c>
      <c r="N5" s="3" t="inlineStr">
        <is>
          <t>그런 발주를 맏끼면서</t>
        </is>
      </c>
      <c r="O5" s="3" t="inlineStr">
        <is>
          <t>form_rule_prediction</t>
        </is>
      </c>
      <c r="P5" s="3" t="inlineStr">
        <is>
          <t>resolved_form</t>
        </is>
      </c>
      <c r="Q5" s="3" t="inlineStr">
        <is>
          <t>all_lexical_slots</t>
        </is>
      </c>
      <c r="R5" s="3" t="inlineStr">
        <is>
          <t>all_lexical_slots</t>
        </is>
      </c>
      <c r="S5" s="3" t="inlineStr"/>
      <c r="T5" s="3" t="inlineStr">
        <is>
          <t>2020\SDRW2000001052.1.1.200.wav</t>
        </is>
      </c>
      <c r="U5" s="3" t="inlineStr">
        <is>
          <t>2020\SDRW2000001052.1.1.200.lab</t>
        </is>
      </c>
      <c r="V5" s="3" t="inlineStr">
        <is>
          <t>2020\SDRW2000001052.1.1.200.TextGrid</t>
        </is>
      </c>
      <c r="W5" s="3" t="inlineStr">
        <is>
          <t>2020\SDRW2000001052.1.1.200.csv</t>
        </is>
      </c>
      <c r="X5" s="3" t="inlineStr"/>
      <c r="Y5" s="3" t="inlineStr"/>
    </row>
    <row r="6">
      <c r="A6" s="3" t="inlineStr">
        <is>
          <t>2020</t>
        </is>
      </c>
      <c r="B6" s="3" t="inlineStr">
        <is>
          <t>SD2001756</t>
        </is>
      </c>
      <c r="C6" s="3" t="inlineStr">
        <is>
          <t>SDRW2000001477</t>
        </is>
      </c>
      <c r="D6" s="3" t="inlineStr">
        <is>
          <t>SDRW2000001477.1</t>
        </is>
      </c>
      <c r="E6" s="3" t="inlineStr">
        <is>
          <t>SD2001756 | SD2001757</t>
        </is>
      </c>
      <c r="F6" s="3" t="inlineStr">
        <is>
          <t>2</t>
        </is>
      </c>
      <c r="G6" s="3" t="inlineStr">
        <is>
          <t>SD2001757</t>
        </is>
      </c>
      <c r="H6" s="3" t="inlineStr">
        <is>
          <t>1</t>
        </is>
      </c>
      <c r="I6" s="3" t="inlineStr">
        <is>
          <t>SDRW2000001477.1.1.288</t>
        </is>
      </c>
      <c r="J6" s="3" t="inlineStr">
        <is>
          <t>갖고 있습니다.</t>
        </is>
      </c>
      <c r="K6" s="3" t="inlineStr">
        <is>
          <t>갖고 있습니다.</t>
        </is>
      </c>
      <c r="L6" s="3" t="inlineStr">
        <is>
          <t>갇꼬 읻씀니다</t>
        </is>
      </c>
      <c r="M6" s="3" t="inlineStr">
        <is>
          <t>갖고 있습니다.</t>
        </is>
      </c>
      <c r="N6" s="3" t="inlineStr">
        <is>
          <t>갇꼬 읻씀니다</t>
        </is>
      </c>
      <c r="O6" s="3" t="inlineStr">
        <is>
          <t>form_rule_prediction</t>
        </is>
      </c>
      <c r="P6" s="3" t="inlineStr">
        <is>
          <t>resolved_form</t>
        </is>
      </c>
      <c r="Q6" s="3" t="inlineStr">
        <is>
          <t>all_lexical_slots</t>
        </is>
      </c>
      <c r="R6" s="3" t="inlineStr">
        <is>
          <t>all_lexical_slots</t>
        </is>
      </c>
      <c r="S6" s="3" t="inlineStr"/>
      <c r="T6" s="3" t="inlineStr">
        <is>
          <t>2020\SDRW2000001477.1.1.288.wav</t>
        </is>
      </c>
      <c r="U6" s="3" t="inlineStr">
        <is>
          <t>2020\SDRW2000001477.1.1.288.lab</t>
        </is>
      </c>
      <c r="V6" s="3" t="inlineStr">
        <is>
          <t>2020\SDRW2000001477.1.1.288.TextGrid</t>
        </is>
      </c>
      <c r="W6" s="3" t="inlineStr">
        <is>
          <t>2020\SDRW2000001477.1.1.288.csv</t>
        </is>
      </c>
      <c r="X6" s="3" t="inlineStr"/>
      <c r="Y6" s="3" t="inlineStr"/>
    </row>
    <row r="7">
      <c r="A7" s="3" t="inlineStr">
        <is>
          <t>2020</t>
        </is>
      </c>
      <c r="B7" s="3" t="inlineStr">
        <is>
          <t>SD2001756</t>
        </is>
      </c>
      <c r="C7" s="3" t="inlineStr">
        <is>
          <t>SDRW2000001477</t>
        </is>
      </c>
      <c r="D7" s="3" t="inlineStr">
        <is>
          <t>SDRW2000001477.1</t>
        </is>
      </c>
      <c r="E7" s="3" t="inlineStr">
        <is>
          <t>SD2001756 | SD2001757</t>
        </is>
      </c>
      <c r="F7" s="3" t="inlineStr">
        <is>
          <t>2</t>
        </is>
      </c>
      <c r="G7" s="3" t="inlineStr">
        <is>
          <t>SD2001757</t>
        </is>
      </c>
      <c r="H7" s="3" t="inlineStr">
        <is>
          <t>1</t>
        </is>
      </c>
      <c r="I7" s="3" t="inlineStr">
        <is>
          <t>SDRW2000001477.1.1.146</t>
        </is>
      </c>
      <c r="J7" s="3" t="inlineStr">
        <is>
          <t>봉준호 감독이</t>
        </is>
      </c>
      <c r="K7" s="3" t="inlineStr">
        <is>
          <t>봉준호 감독이</t>
        </is>
      </c>
      <c r="L7" s="3" t="inlineStr">
        <is>
          <t>봉준호 감도기</t>
        </is>
      </c>
      <c r="M7" s="3" t="inlineStr">
        <is>
          <t>봉준호 감독이</t>
        </is>
      </c>
      <c r="N7" s="3" t="inlineStr">
        <is>
          <t>봉준호 감도기</t>
        </is>
      </c>
      <c r="O7" s="3" t="inlineStr">
        <is>
          <t>form_rule_prediction</t>
        </is>
      </c>
      <c r="P7" s="3" t="inlineStr">
        <is>
          <t>resolved_form</t>
        </is>
      </c>
      <c r="Q7" s="3" t="inlineStr">
        <is>
          <t>all_lexical_slots</t>
        </is>
      </c>
      <c r="R7" s="3" t="inlineStr">
        <is>
          <t>all_lexical_slots</t>
        </is>
      </c>
      <c r="S7" s="3" t="inlineStr"/>
      <c r="T7" s="3" t="inlineStr">
        <is>
          <t>2020\SDRW2000001477.1.1.146.wav</t>
        </is>
      </c>
      <c r="U7" s="3" t="inlineStr">
        <is>
          <t>2020\SDRW2000001477.1.1.146.lab</t>
        </is>
      </c>
      <c r="V7" s="3" t="inlineStr">
        <is>
          <t>2020\SDRW2000001477.1.1.146.TextGrid</t>
        </is>
      </c>
      <c r="W7" s="3" t="inlineStr">
        <is>
          <t>2020\SDRW2000001477.1.1.146.csv</t>
        </is>
      </c>
      <c r="X7" s="3" t="inlineStr"/>
      <c r="Y7" s="3" t="inlineStr"/>
    </row>
    <row r="8">
      <c r="A8" s="3" t="inlineStr">
        <is>
          <t>2020</t>
        </is>
      </c>
      <c r="B8" s="3" t="inlineStr">
        <is>
          <t>SD2001926</t>
        </is>
      </c>
      <c r="C8" s="3" t="inlineStr">
        <is>
          <t>SDRW2000001593</t>
        </is>
      </c>
      <c r="D8" s="3" t="inlineStr">
        <is>
          <t>SDRW2000001593.1</t>
        </is>
      </c>
      <c r="E8" s="3" t="inlineStr">
        <is>
          <t>SD2001926 | SD2001936</t>
        </is>
      </c>
      <c r="F8" s="3" t="inlineStr">
        <is>
          <t>2</t>
        </is>
      </c>
      <c r="G8" s="3" t="inlineStr">
        <is>
          <t>SD2001936</t>
        </is>
      </c>
      <c r="H8" s="3" t="inlineStr">
        <is>
          <t>1</t>
        </is>
      </c>
      <c r="I8" s="3" t="inlineStr">
        <is>
          <t>SDRW2000001593.1.1.301</t>
        </is>
      </c>
      <c r="J8" s="3" t="inlineStr">
        <is>
          <t>드린 선물이 기억에 남는 게 있다면</t>
        </is>
      </c>
      <c r="K8" s="3" t="inlineStr">
        <is>
          <t>드린 선물이 기억에 남는 게 있다면</t>
        </is>
      </c>
      <c r="L8" s="3" t="inlineStr">
        <is>
          <t>드린 선무리 기어게 남는 게 읻따면</t>
        </is>
      </c>
      <c r="M8" s="3" t="inlineStr">
        <is>
          <t>드린 선물이 기억에 남는 게 있다면</t>
        </is>
      </c>
      <c r="N8" s="3" t="inlineStr">
        <is>
          <t>드린 선무리 기어게 남는 게 읻따면</t>
        </is>
      </c>
      <c r="O8" s="3" t="inlineStr">
        <is>
          <t>form_rule_prediction</t>
        </is>
      </c>
      <c r="P8" s="3" t="inlineStr">
        <is>
          <t>resolved_form</t>
        </is>
      </c>
      <c r="Q8" s="3" t="inlineStr">
        <is>
          <t>all_lexical_slots</t>
        </is>
      </c>
      <c r="R8" s="3" t="inlineStr">
        <is>
          <t>all_lexical_slots</t>
        </is>
      </c>
      <c r="S8" s="3" t="inlineStr"/>
      <c r="T8" s="3" t="inlineStr">
        <is>
          <t>2020\SDRW2000001593.1.1.301.wav</t>
        </is>
      </c>
      <c r="U8" s="3" t="inlineStr">
        <is>
          <t>2020\SDRW2000001593.1.1.301.lab</t>
        </is>
      </c>
      <c r="V8" s="3" t="inlineStr">
        <is>
          <t>2020\SDRW2000001593.1.1.301.TextGrid</t>
        </is>
      </c>
      <c r="W8" s="3" t="inlineStr">
        <is>
          <t>2020\SDRW2000001593.1.1.301.csv</t>
        </is>
      </c>
      <c r="X8" s="3" t="inlineStr"/>
      <c r="Y8" s="3" t="inlineStr"/>
    </row>
    <row r="9">
      <c r="A9" s="3" t="inlineStr">
        <is>
          <t>2020</t>
        </is>
      </c>
      <c r="B9" s="3" t="inlineStr">
        <is>
          <t>SD2001926</t>
        </is>
      </c>
      <c r="C9" s="3" t="inlineStr">
        <is>
          <t>SDRW2000001593</t>
        </is>
      </c>
      <c r="D9" s="3" t="inlineStr">
        <is>
          <t>SDRW2000001593.1</t>
        </is>
      </c>
      <c r="E9" s="3" t="inlineStr">
        <is>
          <t>SD2001926 | SD2001936</t>
        </is>
      </c>
      <c r="F9" s="3" t="inlineStr">
        <is>
          <t>2</t>
        </is>
      </c>
      <c r="G9" s="3" t="inlineStr">
        <is>
          <t>SD2001936</t>
        </is>
      </c>
      <c r="H9" s="3" t="inlineStr">
        <is>
          <t>1</t>
        </is>
      </c>
      <c r="I9" s="3" t="inlineStr">
        <is>
          <t>SDRW2000001593.1.1.325</t>
        </is>
      </c>
      <c r="J9" s="3" t="inlineStr">
        <is>
          <t>웃어른</t>
        </is>
      </c>
      <c r="K9" s="3" t="inlineStr">
        <is>
          <t>웃어른</t>
        </is>
      </c>
      <c r="L9" s="3" t="inlineStr">
        <is>
          <t>우서른</t>
        </is>
      </c>
      <c r="M9" s="3" t="inlineStr">
        <is>
          <t>웃어른</t>
        </is>
      </c>
      <c r="N9" s="3" t="inlineStr">
        <is>
          <t>우서른</t>
        </is>
      </c>
      <c r="O9" s="3" t="inlineStr">
        <is>
          <t>form_rule_prediction</t>
        </is>
      </c>
      <c r="P9" s="3" t="inlineStr">
        <is>
          <t>resolved_form</t>
        </is>
      </c>
      <c r="Q9" s="3" t="inlineStr">
        <is>
          <t>all_lexical_slots</t>
        </is>
      </c>
      <c r="R9" s="3" t="inlineStr">
        <is>
          <t>all_lexical_slots</t>
        </is>
      </c>
      <c r="S9" s="3" t="inlineStr"/>
      <c r="T9" s="3" t="inlineStr">
        <is>
          <t>2020\SDRW2000001593.1.1.325.wav</t>
        </is>
      </c>
      <c r="U9" s="3" t="inlineStr">
        <is>
          <t>2020\SDRW2000001593.1.1.325.lab</t>
        </is>
      </c>
      <c r="V9" s="3" t="inlineStr">
        <is>
          <t>2020\SDRW2000001593.1.1.325.TextGrid</t>
        </is>
      </c>
      <c r="W9" s="3" t="inlineStr">
        <is>
          <t>2020\SDRW2000001593.1.1.325.csv</t>
        </is>
      </c>
      <c r="X9" s="3" t="inlineStr"/>
      <c r="Y9" s="3" t="inlineStr"/>
    </row>
    <row r="10">
      <c r="A10" s="3" t="inlineStr">
        <is>
          <t>2020</t>
        </is>
      </c>
      <c r="B10" s="3" t="inlineStr">
        <is>
          <t>SD2001982</t>
        </is>
      </c>
      <c r="C10" s="3" t="inlineStr">
        <is>
          <t>SDRW2000001640</t>
        </is>
      </c>
      <c r="D10" s="3" t="inlineStr">
        <is>
          <t>SDRW2000001640.1</t>
        </is>
      </c>
      <c r="E10" s="3" t="inlineStr">
        <is>
          <t>SD2001982 | SD2001983</t>
        </is>
      </c>
      <c r="F10" s="3" t="inlineStr">
        <is>
          <t>2</t>
        </is>
      </c>
      <c r="G10" s="3" t="inlineStr">
        <is>
          <t>SD2001983</t>
        </is>
      </c>
      <c r="H10" s="3" t="inlineStr">
        <is>
          <t>1</t>
        </is>
      </c>
      <c r="I10" s="3" t="inlineStr">
        <is>
          <t>SDRW2000001640.1.1.364</t>
        </is>
      </c>
      <c r="J10" s="3" t="inlineStr">
        <is>
          <t>뜨거운 물 좀 퍼가도 되지</t>
        </is>
      </c>
      <c r="K10" s="3" t="inlineStr">
        <is>
          <t>뜨거운 물 좀 퍼가도 되지</t>
        </is>
      </c>
      <c r="L10" s="3" t="inlineStr">
        <is>
          <t>뜨거운 물 좀 퍼가도 되지</t>
        </is>
      </c>
      <c r="M10" s="3" t="inlineStr">
        <is>
          <t>뜨거운 물 좀 퍼가도 되지</t>
        </is>
      </c>
      <c r="N10" s="3" t="inlineStr">
        <is>
          <t>뜨거운 물 좀 퍼가도 되지</t>
        </is>
      </c>
      <c r="O10" s="3" t="inlineStr">
        <is>
          <t>form_rule_prediction</t>
        </is>
      </c>
      <c r="P10" s="3" t="inlineStr">
        <is>
          <t>resolved_form</t>
        </is>
      </c>
      <c r="Q10" s="3" t="inlineStr">
        <is>
          <t>all_lexical_slots</t>
        </is>
      </c>
      <c r="R10" s="3" t="inlineStr">
        <is>
          <t>all_lexical_slots</t>
        </is>
      </c>
      <c r="S10" s="3" t="inlineStr"/>
      <c r="T10" s="3" t="inlineStr">
        <is>
          <t>2020\SDRW2000001640.1.1.364.wav</t>
        </is>
      </c>
      <c r="U10" s="3" t="inlineStr">
        <is>
          <t>2020\SDRW2000001640.1.1.364.lab</t>
        </is>
      </c>
      <c r="V10" s="3" t="inlineStr">
        <is>
          <t>2020\SDRW2000001640.1.1.364.TextGrid</t>
        </is>
      </c>
      <c r="W10" s="3" t="inlineStr">
        <is>
          <t>2020\SDRW2000001640.1.1.364.csv</t>
        </is>
      </c>
      <c r="X10" s="3" t="inlineStr"/>
      <c r="Y10" s="3" t="inlineStr"/>
    </row>
    <row r="11">
      <c r="A11" s="3" t="inlineStr">
        <is>
          <t>2020</t>
        </is>
      </c>
      <c r="B11" s="3" t="inlineStr">
        <is>
          <t>SD2001982</t>
        </is>
      </c>
      <c r="C11" s="3" t="inlineStr">
        <is>
          <t>SDRW2000001640</t>
        </is>
      </c>
      <c r="D11" s="3" t="inlineStr">
        <is>
          <t>SDRW2000001640.1</t>
        </is>
      </c>
      <c r="E11" s="3" t="inlineStr">
        <is>
          <t>SD2001982 | SD2001983</t>
        </is>
      </c>
      <c r="F11" s="3" t="inlineStr">
        <is>
          <t>2</t>
        </is>
      </c>
      <c r="G11" s="3" t="inlineStr">
        <is>
          <t>SD2001983</t>
        </is>
      </c>
      <c r="H11" s="3" t="inlineStr">
        <is>
          <t>1</t>
        </is>
      </c>
      <c r="I11" s="3" t="inlineStr">
        <is>
          <t>SDRW2000001640.1.1.361</t>
        </is>
      </c>
      <c r="J11" s="3" t="inlineStr">
        <is>
          <t>전기세도 들고</t>
        </is>
      </c>
      <c r="K11" s="3" t="inlineStr">
        <is>
          <t>전기세도 들고</t>
        </is>
      </c>
      <c r="L11" s="3" t="inlineStr">
        <is>
          <t>전기세도 들고</t>
        </is>
      </c>
      <c r="M11" s="3" t="inlineStr">
        <is>
          <t>전기세도 들고</t>
        </is>
      </c>
      <c r="N11" s="3" t="inlineStr">
        <is>
          <t>전기세도 들고</t>
        </is>
      </c>
      <c r="O11" s="3" t="inlineStr">
        <is>
          <t>form_rule_prediction</t>
        </is>
      </c>
      <c r="P11" s="3" t="inlineStr">
        <is>
          <t>resolved_form</t>
        </is>
      </c>
      <c r="Q11" s="3" t="inlineStr">
        <is>
          <t>all_lexical_slots</t>
        </is>
      </c>
      <c r="R11" s="3" t="inlineStr">
        <is>
          <t>all_lexical_slots</t>
        </is>
      </c>
      <c r="S11" s="3" t="inlineStr"/>
      <c r="T11" s="3" t="inlineStr">
        <is>
          <t>2020\SDRW2000001640.1.1.361.wav</t>
        </is>
      </c>
      <c r="U11" s="3" t="inlineStr">
        <is>
          <t>2020\SDRW2000001640.1.1.361.lab</t>
        </is>
      </c>
      <c r="V11" s="3" t="inlineStr">
        <is>
          <t>2020\SDRW2000001640.1.1.361.TextGrid</t>
        </is>
      </c>
      <c r="W11" s="3" t="inlineStr">
        <is>
          <t>2020\SDRW2000001640.1.1.361.csv</t>
        </is>
      </c>
      <c r="X11" s="3" t="inlineStr"/>
      <c r="Y11" s="3" t="inlineStr"/>
    </row>
    <row r="12">
      <c r="A12" s="3" t="inlineStr">
        <is>
          <t>2021</t>
        </is>
      </c>
      <c r="B12" s="3" t="inlineStr">
        <is>
          <t>SD2100792</t>
        </is>
      </c>
      <c r="C12" s="3" t="inlineStr">
        <is>
          <t>SDRW2100001431</t>
        </is>
      </c>
      <c r="D12" s="3" t="inlineStr">
        <is>
          <t>SDRW2100001431.1</t>
        </is>
      </c>
      <c r="E12" s="3" t="inlineStr">
        <is>
          <t>SD2100792 | SD2110791</t>
        </is>
      </c>
      <c r="F12" s="3" t="inlineStr">
        <is>
          <t>2</t>
        </is>
      </c>
      <c r="G12" s="3" t="inlineStr">
        <is>
          <t>SD2110791</t>
        </is>
      </c>
      <c r="H12" s="3" t="inlineStr">
        <is>
          <t>1</t>
        </is>
      </c>
      <c r="I12" s="3" t="inlineStr">
        <is>
          <t>SDRW2100001431.1.1.103</t>
        </is>
      </c>
      <c r="J12" s="3" t="inlineStr">
        <is>
          <t>되게 애매모호해 진 경우가 되게 많습니다.</t>
        </is>
      </c>
      <c r="K12" s="3" t="inlineStr">
        <is>
          <t>되게 애매모호해 진 경우가 되게 많습니다.</t>
        </is>
      </c>
      <c r="L12" s="3" t="inlineStr">
        <is>
          <t>되게 애매모호해 진 경우가 되게 만씀니다</t>
        </is>
      </c>
      <c r="M12" s="3" t="inlineStr">
        <is>
          <t>되게 애매모호해 진 경우가 되게 많습니다.</t>
        </is>
      </c>
      <c r="N12" s="3" t="inlineStr">
        <is>
          <t>되게 애매모호해 진 경우가 되게 만씀니다</t>
        </is>
      </c>
      <c r="O12" s="3" t="inlineStr">
        <is>
          <t>form_rule_prediction</t>
        </is>
      </c>
      <c r="P12" s="3" t="inlineStr">
        <is>
          <t>resolved_form</t>
        </is>
      </c>
      <c r="Q12" s="3" t="inlineStr">
        <is>
          <t>labeled_word_slots</t>
        </is>
      </c>
      <c r="R12" s="3" t="inlineStr">
        <is>
          <t>labeled_word_slots</t>
        </is>
      </c>
      <c r="S12" s="3" t="inlineStr"/>
      <c r="T12" s="3" t="inlineStr">
        <is>
          <t>2021\SDRW2100001431.1.1.103.wav</t>
        </is>
      </c>
      <c r="U12" s="3" t="inlineStr">
        <is>
          <t>2021\SDRW2100001431.1.1.103.lab</t>
        </is>
      </c>
      <c r="V12" s="3" t="inlineStr">
        <is>
          <t>2021\SDRW2100001431.1.1.103.TextGrid</t>
        </is>
      </c>
      <c r="W12" s="3" t="inlineStr">
        <is>
          <t>2021\SDRW2100001431.1.1.103.csv</t>
        </is>
      </c>
      <c r="X12" s="3" t="inlineStr"/>
      <c r="Y12" s="3" t="inlineStr"/>
    </row>
    <row r="13">
      <c r="A13" s="3" t="inlineStr">
        <is>
          <t>2021</t>
        </is>
      </c>
      <c r="B13" s="3" t="inlineStr">
        <is>
          <t>SD2100792</t>
        </is>
      </c>
      <c r="C13" s="3" t="inlineStr">
        <is>
          <t>SDRW2100001431</t>
        </is>
      </c>
      <c r="D13" s="3" t="inlineStr">
        <is>
          <t>SDRW2100001431.1</t>
        </is>
      </c>
      <c r="E13" s="3" t="inlineStr">
        <is>
          <t>SD2100792 | SD2110791</t>
        </is>
      </c>
      <c r="F13" s="3" t="inlineStr">
        <is>
          <t>2</t>
        </is>
      </c>
      <c r="G13" s="3" t="inlineStr">
        <is>
          <t>SD2110791</t>
        </is>
      </c>
      <c r="H13" s="3" t="inlineStr">
        <is>
          <t>1</t>
        </is>
      </c>
      <c r="I13" s="3" t="inlineStr">
        <is>
          <t>SDRW2100001431.1.1.135</t>
        </is>
      </c>
      <c r="J13" s="3" t="inlineStr">
        <is>
          <t>좀</t>
        </is>
      </c>
      <c r="K13" s="3" t="inlineStr">
        <is>
          <t>쫌</t>
        </is>
      </c>
      <c r="L13" s="3" t="inlineStr">
        <is>
          <t>좀</t>
        </is>
      </c>
      <c r="M13" s="3" t="inlineStr">
        <is>
          <t>좀</t>
        </is>
      </c>
      <c r="N13" s="3" t="inlineStr">
        <is>
          <t>좀</t>
        </is>
      </c>
      <c r="O13" s="3" t="inlineStr">
        <is>
          <t>form_rule_prediction</t>
        </is>
      </c>
      <c r="P13" s="3" t="inlineStr">
        <is>
          <t>resolved_form</t>
        </is>
      </c>
      <c r="Q13" s="3" t="inlineStr">
        <is>
          <t>all_lexical_slots</t>
        </is>
      </c>
      <c r="R13" s="3" t="inlineStr">
        <is>
          <t>all_lexical_slots</t>
        </is>
      </c>
      <c r="S13" s="3" t="inlineStr"/>
      <c r="T13" s="3" t="inlineStr">
        <is>
          <t>2021\SDRW2100001431.1.1.135.wav</t>
        </is>
      </c>
      <c r="U13" s="3" t="inlineStr">
        <is>
          <t>2021\SDRW2100001431.1.1.135.lab</t>
        </is>
      </c>
      <c r="V13" s="3" t="inlineStr">
        <is>
          <t>2021\SDRW2100001431.1.1.135.TextGrid</t>
        </is>
      </c>
      <c r="W13" s="3" t="inlineStr">
        <is>
          <t>2021\SDRW2100001431.1.1.135.csv</t>
        </is>
      </c>
      <c r="X13" s="3" t="inlineStr"/>
      <c r="Y13" s="3" t="inlineStr"/>
    </row>
    <row r="14">
      <c r="A14" s="3" t="inlineStr">
        <is>
          <t>2021</t>
        </is>
      </c>
      <c r="B14" s="3" t="inlineStr">
        <is>
          <t>SD2100911</t>
        </is>
      </c>
      <c r="C14" s="3" t="inlineStr">
        <is>
          <t>SDRW2100003457</t>
        </is>
      </c>
      <c r="D14" s="3" t="inlineStr">
        <is>
          <t>SDRW2100003457.1</t>
        </is>
      </c>
      <c r="E14" s="3" t="inlineStr">
        <is>
          <t>SD2100911 | SD2100912</t>
        </is>
      </c>
      <c r="F14" s="3" t="inlineStr">
        <is>
          <t>2</t>
        </is>
      </c>
      <c r="G14" s="3" t="inlineStr">
        <is>
          <t>SD2100912</t>
        </is>
      </c>
      <c r="H14" s="3" t="inlineStr">
        <is>
          <t>1</t>
        </is>
      </c>
      <c r="I14" s="3" t="inlineStr">
        <is>
          <t>SDRW2100003457.1.1.43</t>
        </is>
      </c>
      <c r="J14" s="3" t="inlineStr">
        <is>
          <t>하게 될 경우에는</t>
        </is>
      </c>
      <c r="K14" s="3" t="inlineStr">
        <is>
          <t>하게 될 경우에는</t>
        </is>
      </c>
      <c r="L14" s="3" t="inlineStr">
        <is>
          <t>하게 될 경우에는</t>
        </is>
      </c>
      <c r="M14" s="3" t="inlineStr">
        <is>
          <t>하게 될 경우에는</t>
        </is>
      </c>
      <c r="N14" s="3" t="inlineStr">
        <is>
          <t>하게 될 경우에는</t>
        </is>
      </c>
      <c r="O14" s="3" t="inlineStr">
        <is>
          <t>form_rule_prediction</t>
        </is>
      </c>
      <c r="P14" s="3" t="inlineStr">
        <is>
          <t>resolved_form</t>
        </is>
      </c>
      <c r="Q14" s="3" t="inlineStr">
        <is>
          <t>all_lexical_slots</t>
        </is>
      </c>
      <c r="R14" s="3" t="inlineStr">
        <is>
          <t>all_lexical_slots</t>
        </is>
      </c>
      <c r="S14" s="3" t="inlineStr"/>
      <c r="T14" s="3" t="inlineStr">
        <is>
          <t>2021\SDRW2100003457.1.1.43.wav</t>
        </is>
      </c>
      <c r="U14" s="3" t="inlineStr">
        <is>
          <t>2021\SDRW2100003457.1.1.43.lab</t>
        </is>
      </c>
      <c r="V14" s="3" t="inlineStr">
        <is>
          <t>2021\SDRW2100003457.1.1.43.TextGrid</t>
        </is>
      </c>
      <c r="W14" s="3" t="inlineStr">
        <is>
          <t>2021\SDRW2100003457.1.1.43.csv</t>
        </is>
      </c>
      <c r="X14" s="3" t="inlineStr"/>
      <c r="Y14" s="3" t="inlineStr"/>
    </row>
    <row r="15">
      <c r="A15" s="3" t="inlineStr">
        <is>
          <t>2021</t>
        </is>
      </c>
      <c r="B15" s="3" t="inlineStr">
        <is>
          <t>SD2100911</t>
        </is>
      </c>
      <c r="C15" s="3" t="inlineStr">
        <is>
          <t>SDRW2100003457</t>
        </is>
      </c>
      <c r="D15" s="3" t="inlineStr">
        <is>
          <t>SDRW2100003457.1</t>
        </is>
      </c>
      <c r="E15" s="3" t="inlineStr">
        <is>
          <t>SD2100911 | SD2100912</t>
        </is>
      </c>
      <c r="F15" s="3" t="inlineStr">
        <is>
          <t>2</t>
        </is>
      </c>
      <c r="G15" s="3" t="inlineStr">
        <is>
          <t>SD2100912</t>
        </is>
      </c>
      <c r="H15" s="3" t="inlineStr">
        <is>
          <t>1</t>
        </is>
      </c>
      <c r="I15" s="3" t="inlineStr">
        <is>
          <t>SDRW2100003457.1.1.200</t>
        </is>
      </c>
      <c r="J15" s="3" t="inlineStr">
        <is>
          <t>많은 범죄들</t>
        </is>
      </c>
      <c r="K15" s="3" t="inlineStr">
        <is>
          <t>많은 범죄들</t>
        </is>
      </c>
      <c r="L15" s="3" t="inlineStr">
        <is>
          <t>마는 범죄들</t>
        </is>
      </c>
      <c r="M15" s="3" t="inlineStr">
        <is>
          <t>많은 범죄들</t>
        </is>
      </c>
      <c r="N15" s="3" t="inlineStr">
        <is>
          <t>마는 범죄들</t>
        </is>
      </c>
      <c r="O15" s="3" t="inlineStr">
        <is>
          <t>form_rule_prediction</t>
        </is>
      </c>
      <c r="P15" s="3" t="inlineStr">
        <is>
          <t>resolved_form</t>
        </is>
      </c>
      <c r="Q15" s="3" t="inlineStr">
        <is>
          <t>labeled_word_slots</t>
        </is>
      </c>
      <c r="R15" s="3" t="inlineStr">
        <is>
          <t>labeled_word_slots</t>
        </is>
      </c>
      <c r="S15" s="3" t="inlineStr"/>
      <c r="T15" s="3" t="inlineStr">
        <is>
          <t>2021\SDRW2100003457.1.1.200.wav</t>
        </is>
      </c>
      <c r="U15" s="3" t="inlineStr">
        <is>
          <t>2021\SDRW2100003457.1.1.200.lab</t>
        </is>
      </c>
      <c r="V15" s="3" t="inlineStr">
        <is>
          <t>2021\SDRW2100003457.1.1.200.TextGrid</t>
        </is>
      </c>
      <c r="W15" s="3" t="inlineStr">
        <is>
          <t>2021\SDRW2100003457.1.1.200.csv</t>
        </is>
      </c>
      <c r="X15" s="3" t="inlineStr"/>
      <c r="Y15" s="3" t="inlineStr"/>
    </row>
    <row r="16">
      <c r="A16" s="3" t="inlineStr">
        <is>
          <t>2021</t>
        </is>
      </c>
      <c r="B16" s="3" t="inlineStr">
        <is>
          <t>SD2101608</t>
        </is>
      </c>
      <c r="C16" s="3" t="inlineStr">
        <is>
          <t>SDRW2100001607</t>
        </is>
      </c>
      <c r="D16" s="3" t="inlineStr">
        <is>
          <t>SDRW2100001607.1</t>
        </is>
      </c>
      <c r="E16" s="3" t="inlineStr">
        <is>
          <t>SD2101607 | SD2101608</t>
        </is>
      </c>
      <c r="F16" s="3" t="inlineStr">
        <is>
          <t>2</t>
        </is>
      </c>
      <c r="G16" s="3" t="inlineStr">
        <is>
          <t>SD2101607</t>
        </is>
      </c>
      <c r="H16" s="3" t="inlineStr">
        <is>
          <t>1</t>
        </is>
      </c>
      <c r="I16" s="3" t="inlineStr">
        <is>
          <t>SDRW2100001607.1.1.228</t>
        </is>
      </c>
      <c r="J16" s="3" t="inlineStr">
        <is>
          <t>상관없나?</t>
        </is>
      </c>
      <c r="K16" s="3" t="inlineStr">
        <is>
          <t>상관없나? {laughing}</t>
        </is>
      </c>
      <c r="L16" s="3" t="inlineStr">
        <is>
          <t>상과넘나</t>
        </is>
      </c>
      <c r="M16" s="3" t="inlineStr">
        <is>
          <t>상관없나?</t>
        </is>
      </c>
      <c r="N16" s="3" t="inlineStr">
        <is>
          <t>상과넘나</t>
        </is>
      </c>
      <c r="O16" s="3" t="inlineStr">
        <is>
          <t>form_rule_prediction</t>
        </is>
      </c>
      <c r="P16" s="3" t="inlineStr">
        <is>
          <t>resolved_form</t>
        </is>
      </c>
      <c r="Q16" s="3" t="inlineStr">
        <is>
          <t>utterance_fallback</t>
        </is>
      </c>
      <c r="R16" s="3" t="inlineStr">
        <is>
          <t>all_lexical_slots</t>
        </is>
      </c>
      <c r="S16" s="3" t="inlineStr">
        <is>
          <t>original_form: tokens=2, lexical_slots=1, labeled_slots=1</t>
        </is>
      </c>
      <c r="T16" s="3" t="inlineStr">
        <is>
          <t>2021\SDRW2100001607.1.1.228.wav</t>
        </is>
      </c>
      <c r="U16" s="3" t="inlineStr">
        <is>
          <t>2021\SDRW2100001607.1.1.228.lab</t>
        </is>
      </c>
      <c r="V16" s="3" t="inlineStr">
        <is>
          <t>2021\SDRW2100001607.1.1.228.TextGrid</t>
        </is>
      </c>
      <c r="W16" s="3" t="inlineStr">
        <is>
          <t>2021\SDRW2100001607.1.1.228.csv</t>
        </is>
      </c>
      <c r="X16" s="3" t="inlineStr"/>
      <c r="Y16" s="3" t="inlineStr"/>
    </row>
    <row r="17">
      <c r="A17" s="3" t="inlineStr">
        <is>
          <t>2021</t>
        </is>
      </c>
      <c r="B17" s="3" t="inlineStr">
        <is>
          <t>SD2101608</t>
        </is>
      </c>
      <c r="C17" s="3" t="inlineStr">
        <is>
          <t>SDRW2100001607</t>
        </is>
      </c>
      <c r="D17" s="3" t="inlineStr">
        <is>
          <t>SDRW2100001607.1</t>
        </is>
      </c>
      <c r="E17" s="3" t="inlineStr">
        <is>
          <t>SD2101607 | SD2101608</t>
        </is>
      </c>
      <c r="F17" s="3" t="inlineStr">
        <is>
          <t>2</t>
        </is>
      </c>
      <c r="G17" s="3" t="inlineStr">
        <is>
          <t>SD2101607</t>
        </is>
      </c>
      <c r="H17" s="3" t="inlineStr">
        <is>
          <t>1</t>
        </is>
      </c>
      <c r="I17" s="3" t="inlineStr">
        <is>
          <t>SDRW2100001607.1.1.485</t>
        </is>
      </c>
      <c r="J17" s="3" t="inlineStr">
        <is>
          <t>친구 간 선호 이게 뭔 뜻이지?</t>
        </is>
      </c>
      <c r="K17" s="3" t="inlineStr">
        <is>
          <t>친구 간 선호 이게 뭔 뜻이지?</t>
        </is>
      </c>
      <c r="L17" s="3" t="inlineStr">
        <is>
          <t>친구 간 선호 이게 뭔 뜨시지</t>
        </is>
      </c>
      <c r="M17" s="3" t="inlineStr">
        <is>
          <t>친구 간 선호 이게 뭔 뜻이지?</t>
        </is>
      </c>
      <c r="N17" s="3" t="inlineStr">
        <is>
          <t>친구 간 선호 이게 뭔 뜨시지</t>
        </is>
      </c>
      <c r="O17" s="3" t="inlineStr">
        <is>
          <t>form_rule_prediction</t>
        </is>
      </c>
      <c r="P17" s="3" t="inlineStr">
        <is>
          <t>resolved_form</t>
        </is>
      </c>
      <c r="Q17" s="3" t="inlineStr">
        <is>
          <t>all_lexical_slots</t>
        </is>
      </c>
      <c r="R17" s="3" t="inlineStr">
        <is>
          <t>all_lexical_slots</t>
        </is>
      </c>
      <c r="S17" s="3" t="inlineStr"/>
      <c r="T17" s="3" t="inlineStr">
        <is>
          <t>2021\SDRW2100001607.1.1.485.wav</t>
        </is>
      </c>
      <c r="U17" s="3" t="inlineStr">
        <is>
          <t>2021\SDRW2100001607.1.1.485.lab</t>
        </is>
      </c>
      <c r="V17" s="3" t="inlineStr">
        <is>
          <t>2021\SDRW2100001607.1.1.485.TextGrid</t>
        </is>
      </c>
      <c r="W17" s="3" t="inlineStr">
        <is>
          <t>2021\SDRW2100001607.1.1.485.csv</t>
        </is>
      </c>
      <c r="X17" s="3" t="inlineStr"/>
      <c r="Y17" s="3" t="inlineStr"/>
    </row>
    <row r="18">
      <c r="A18" s="3" t="inlineStr">
        <is>
          <t>2021</t>
        </is>
      </c>
      <c r="B18" s="3" t="inlineStr">
        <is>
          <t>SD2101640</t>
        </is>
      </c>
      <c r="C18" s="3" t="inlineStr">
        <is>
          <t>SDRW2100001646</t>
        </is>
      </c>
      <c r="D18" s="3" t="inlineStr">
        <is>
          <t>SDRW2100001646.1</t>
        </is>
      </c>
      <c r="E18" s="3" t="inlineStr">
        <is>
          <t>SD2101639 | SD2101640</t>
        </is>
      </c>
      <c r="F18" s="3" t="inlineStr">
        <is>
          <t>2</t>
        </is>
      </c>
      <c r="G18" s="3" t="inlineStr">
        <is>
          <t>SD2101639</t>
        </is>
      </c>
      <c r="H18" s="3" t="inlineStr">
        <is>
          <t>1</t>
        </is>
      </c>
      <c r="I18" s="3" t="inlineStr">
        <is>
          <t>SDRW2100001646.1.1.113</t>
        </is>
      </c>
      <c r="J18" s="3" t="inlineStr">
        <is>
          <t>아.</t>
        </is>
      </c>
      <c r="K18" s="3" t="inlineStr">
        <is>
          <t>아.</t>
        </is>
      </c>
      <c r="L18" s="3" t="inlineStr">
        <is>
          <t>아</t>
        </is>
      </c>
      <c r="M18" s="3" t="inlineStr">
        <is>
          <t>아.</t>
        </is>
      </c>
      <c r="N18" s="3" t="inlineStr">
        <is>
          <t>아</t>
        </is>
      </c>
      <c r="O18" s="3" t="inlineStr">
        <is>
          <t>form_rule_prediction</t>
        </is>
      </c>
      <c r="P18" s="3" t="inlineStr">
        <is>
          <t>resolved_form</t>
        </is>
      </c>
      <c r="Q18" s="3" t="inlineStr">
        <is>
          <t>all_lexical_slots</t>
        </is>
      </c>
      <c r="R18" s="3" t="inlineStr">
        <is>
          <t>all_lexical_slots</t>
        </is>
      </c>
      <c r="S18" s="3" t="inlineStr"/>
      <c r="T18" s="3" t="inlineStr">
        <is>
          <t>2021\SDRW2100001646.1.1.113.wav</t>
        </is>
      </c>
      <c r="U18" s="3" t="inlineStr">
        <is>
          <t>2021\SDRW2100001646.1.1.113.lab</t>
        </is>
      </c>
      <c r="V18" s="3" t="inlineStr">
        <is>
          <t>2021\SDRW2100001646.1.1.113.TextGrid</t>
        </is>
      </c>
      <c r="W18" s="3" t="inlineStr">
        <is>
          <t>2021\SDRW2100001646.1.1.113.csv</t>
        </is>
      </c>
      <c r="X18" s="3" t="inlineStr"/>
      <c r="Y18" s="3" t="inlineStr"/>
    </row>
    <row r="19">
      <c r="A19" s="3" t="inlineStr">
        <is>
          <t>2021</t>
        </is>
      </c>
      <c r="B19" s="3" t="inlineStr">
        <is>
          <t>SD2101640</t>
        </is>
      </c>
      <c r="C19" s="3" t="inlineStr">
        <is>
          <t>SDRW2100001646</t>
        </is>
      </c>
      <c r="D19" s="3" t="inlineStr">
        <is>
          <t>SDRW2100001646.1</t>
        </is>
      </c>
      <c r="E19" s="3" t="inlineStr">
        <is>
          <t>SD2101639 | SD2101640</t>
        </is>
      </c>
      <c r="F19" s="3" t="inlineStr">
        <is>
          <t>2</t>
        </is>
      </c>
      <c r="G19" s="3" t="inlineStr">
        <is>
          <t>SD2101639</t>
        </is>
      </c>
      <c r="H19" s="3" t="inlineStr">
        <is>
          <t>1</t>
        </is>
      </c>
      <c r="I19" s="3" t="inlineStr">
        <is>
          <t>SDRW2100001646.1.1.269</t>
        </is>
      </c>
      <c r="J19" s="3" t="inlineStr">
        <is>
          <t>맞아.</t>
        </is>
      </c>
      <c r="K19" s="3" t="inlineStr">
        <is>
          <t>맞아.</t>
        </is>
      </c>
      <c r="L19" s="3" t="inlineStr">
        <is>
          <t>마자</t>
        </is>
      </c>
      <c r="M19" s="3" t="inlineStr">
        <is>
          <t>맞아.</t>
        </is>
      </c>
      <c r="N19" s="3" t="inlineStr">
        <is>
          <t>마자</t>
        </is>
      </c>
      <c r="O19" s="3" t="inlineStr">
        <is>
          <t>form_rule_prediction</t>
        </is>
      </c>
      <c r="P19" s="3" t="inlineStr">
        <is>
          <t>resolved_form</t>
        </is>
      </c>
      <c r="Q19" s="3" t="inlineStr">
        <is>
          <t>all_lexical_slots</t>
        </is>
      </c>
      <c r="R19" s="3" t="inlineStr">
        <is>
          <t>all_lexical_slots</t>
        </is>
      </c>
      <c r="S19" s="3" t="inlineStr"/>
      <c r="T19" s="3" t="inlineStr">
        <is>
          <t>2021\SDRW2100001646.1.1.269.wav</t>
        </is>
      </c>
      <c r="U19" s="3" t="inlineStr">
        <is>
          <t>2021\SDRW2100001646.1.1.269.lab</t>
        </is>
      </c>
      <c r="V19" s="3" t="inlineStr">
        <is>
          <t>2021\SDRW2100001646.1.1.269.TextGrid</t>
        </is>
      </c>
      <c r="W19" s="3" t="inlineStr">
        <is>
          <t>2021\SDRW2100001646.1.1.269.csv</t>
        </is>
      </c>
      <c r="X19" s="3" t="inlineStr"/>
      <c r="Y19" s="3" t="inlineStr"/>
    </row>
    <row r="20">
      <c r="A20" s="3" t="inlineStr">
        <is>
          <t>2021</t>
        </is>
      </c>
      <c r="B20" s="3" t="inlineStr">
        <is>
          <t>SD2102409</t>
        </is>
      </c>
      <c r="C20" s="3" t="inlineStr">
        <is>
          <t>SDRW2100004382</t>
        </is>
      </c>
      <c r="D20" s="3" t="inlineStr">
        <is>
          <t>SDRW2100004382.1</t>
        </is>
      </c>
      <c r="E20" s="3" t="inlineStr">
        <is>
          <t>SD2102409 | SD2102410</t>
        </is>
      </c>
      <c r="F20" s="3" t="inlineStr">
        <is>
          <t>2</t>
        </is>
      </c>
      <c r="G20" s="3" t="inlineStr">
        <is>
          <t>SD2102410</t>
        </is>
      </c>
      <c r="H20" s="3" t="inlineStr">
        <is>
          <t>1</t>
        </is>
      </c>
      <c r="I20" s="3" t="inlineStr">
        <is>
          <t>SDRW2100004382.1.1.141</t>
        </is>
      </c>
      <c r="J20" s="3" t="inlineStr">
        <is>
          <t>나이가 들어서 어느 정도 됐을 때는 음 결혼 상대자가 있었으면 좋겠어.</t>
        </is>
      </c>
      <c r="K20" s="3" t="inlineStr">
        <is>
          <t>나이가 들어서 어느 정도 됐을 때는 음 결혼 상대자가 있었으면 좋겠어.</t>
        </is>
      </c>
      <c r="L20" s="3" t="inlineStr">
        <is>
          <t>나이가 드러서 어느 정도 돼쓸 때는 음 결혼 상대자가 이써쓰면 조케써</t>
        </is>
      </c>
      <c r="M20" s="3" t="inlineStr">
        <is>
          <t>나이가 들어서 어느 정도 됐을 때는 음 결혼 상대자가 있었으면 좋겠어.</t>
        </is>
      </c>
      <c r="N20" s="3" t="inlineStr">
        <is>
          <t>나이가 드러서 어느 정도 돼쓸 때는 음 결혼 상대자가 이써쓰면 조케써</t>
        </is>
      </c>
      <c r="O20" s="3" t="inlineStr">
        <is>
          <t>form_rule_prediction</t>
        </is>
      </c>
      <c r="P20" s="3" t="inlineStr">
        <is>
          <t>resolved_form</t>
        </is>
      </c>
      <c r="Q20" s="3" t="inlineStr">
        <is>
          <t>labeled_word_slots</t>
        </is>
      </c>
      <c r="R20" s="3" t="inlineStr">
        <is>
          <t>labeled_word_slots</t>
        </is>
      </c>
      <c r="S20" s="3" t="inlineStr"/>
      <c r="T20" s="3" t="inlineStr">
        <is>
          <t>2021\SDRW2100004382.1.1.141.wav</t>
        </is>
      </c>
      <c r="U20" s="3" t="inlineStr">
        <is>
          <t>2021\SDRW2100004382.1.1.141.lab</t>
        </is>
      </c>
      <c r="V20" s="3" t="inlineStr">
        <is>
          <t>2021\SDRW2100004382.1.1.141.TextGrid</t>
        </is>
      </c>
      <c r="W20" s="3" t="inlineStr">
        <is>
          <t>2021\SDRW2100004382.1.1.141.csv</t>
        </is>
      </c>
      <c r="X20" s="3" t="inlineStr"/>
      <c r="Y20" s="3" t="inlineStr"/>
    </row>
    <row r="21">
      <c r="A21" s="3" t="inlineStr">
        <is>
          <t>2021</t>
        </is>
      </c>
      <c r="B21" s="3" t="inlineStr">
        <is>
          <t>SD2102409</t>
        </is>
      </c>
      <c r="C21" s="3" t="inlineStr">
        <is>
          <t>SDRW2100004382</t>
        </is>
      </c>
      <c r="D21" s="3" t="inlineStr">
        <is>
          <t>SDRW2100004382.1</t>
        </is>
      </c>
      <c r="E21" s="3" t="inlineStr">
        <is>
          <t>SD2102409 | SD2102410</t>
        </is>
      </c>
      <c r="F21" s="3" t="inlineStr">
        <is>
          <t>2</t>
        </is>
      </c>
      <c r="G21" s="3" t="inlineStr">
        <is>
          <t>SD2102410</t>
        </is>
      </c>
      <c r="H21" s="3" t="inlineStr">
        <is>
          <t>1</t>
        </is>
      </c>
      <c r="I21" s="3" t="inlineStr">
        <is>
          <t>SDRW2100004382.1.1.298</t>
        </is>
      </c>
      <c r="J21" s="3" t="inlineStr">
        <is>
          <t>그냥 트래킹 가다가 지나간 거니까 거기서 그냥 꽃 사서</t>
        </is>
      </c>
      <c r="K21" s="3" t="inlineStr">
        <is>
          <t>그냥 트래킹 가다가 지나간 거니까 거기서 그냥 꽃 사서</t>
        </is>
      </c>
      <c r="L21" s="3" t="inlineStr">
        <is>
          <t>그냥 트래킹 가다가 지나간 거니까 거기서 그냥 꼳 사서</t>
        </is>
      </c>
      <c r="M21" s="3" t="inlineStr">
        <is>
          <t>그냥 트래킹 가다가 지나간 거니까 거기서 그냥 꽃 사서</t>
        </is>
      </c>
      <c r="N21" s="3" t="inlineStr">
        <is>
          <t>그냥 트래킹 가다가 지나간 거니까 거기서 그냥 꼳 사서</t>
        </is>
      </c>
      <c r="O21" s="3" t="inlineStr">
        <is>
          <t>form_rule_prediction</t>
        </is>
      </c>
      <c r="P21" s="3" t="inlineStr">
        <is>
          <t>resolved_form</t>
        </is>
      </c>
      <c r="Q21" s="3" t="inlineStr">
        <is>
          <t>labeled_word_slots</t>
        </is>
      </c>
      <c r="R21" s="3" t="inlineStr">
        <is>
          <t>labeled_word_slots</t>
        </is>
      </c>
      <c r="S21" s="3" t="inlineStr"/>
      <c r="T21" s="3" t="inlineStr">
        <is>
          <t>2021\SDRW2100004382.1.1.298.wav</t>
        </is>
      </c>
      <c r="U21" s="3" t="inlineStr">
        <is>
          <t>2021\SDRW2100004382.1.1.298.lab</t>
        </is>
      </c>
      <c r="V21" s="3" t="inlineStr">
        <is>
          <t>2021\SDRW2100004382.1.1.298.TextGrid</t>
        </is>
      </c>
      <c r="W21" s="3" t="inlineStr">
        <is>
          <t>2021\SDRW2100004382.1.1.298.csv</t>
        </is>
      </c>
      <c r="X21" s="3" t="inlineStr"/>
      <c r="Y21" s="3" t="inlineStr"/>
    </row>
    <row r="22">
      <c r="A22" s="3" t="inlineStr">
        <is>
          <t>2022</t>
        </is>
      </c>
      <c r="B22" s="3" t="inlineStr">
        <is>
          <t>SD2201149</t>
        </is>
      </c>
      <c r="C22" s="3" t="inlineStr">
        <is>
          <t>SDRW2200002419</t>
        </is>
      </c>
      <c r="D22" s="3" t="inlineStr">
        <is>
          <t>SDRW2200002419.1</t>
        </is>
      </c>
      <c r="E22" s="3" t="inlineStr">
        <is>
          <t>SD2201149 | SD2201150</t>
        </is>
      </c>
      <c r="F22" s="3" t="inlineStr">
        <is>
          <t>2</t>
        </is>
      </c>
      <c r="G22" s="3" t="inlineStr">
        <is>
          <t>SD2201150</t>
        </is>
      </c>
      <c r="H22" s="3" t="inlineStr">
        <is>
          <t>1</t>
        </is>
      </c>
      <c r="I22" s="3" t="inlineStr">
        <is>
          <t>SDRW2200002419.1.1.72</t>
        </is>
      </c>
      <c r="J22" s="3" t="inlineStr">
        <is>
          <t>철판 올리고 나르고 그게 엄청 힘들었는데?</t>
        </is>
      </c>
      <c r="K22" s="3" t="inlineStr">
        <is>
          <t>철판 올르고 날르고 그게 엄청 힘들었는데?</t>
        </is>
      </c>
      <c r="L22" s="3" t="inlineStr">
        <is>
          <t>철판 올리고 나르고 그게 엄청 힘드런는데</t>
        </is>
      </c>
      <c r="M22" s="3" t="inlineStr">
        <is>
          <t>철판 올리고 나르고 그게 엄청 힘들었는데?</t>
        </is>
      </c>
      <c r="N22" s="3" t="inlineStr">
        <is>
          <t>철판 올리고 나르고 그게 엄청 힘드런는데</t>
        </is>
      </c>
      <c r="O22" s="3" t="inlineStr">
        <is>
          <t>form_rule_prediction</t>
        </is>
      </c>
      <c r="P22" s="3" t="inlineStr">
        <is>
          <t>resolved_form</t>
        </is>
      </c>
      <c r="Q22" s="3" t="inlineStr">
        <is>
          <t>labeled_word_slots</t>
        </is>
      </c>
      <c r="R22" s="3" t="inlineStr">
        <is>
          <t>labeled_word_slots</t>
        </is>
      </c>
      <c r="S22" s="3" t="inlineStr"/>
      <c r="T22" s="3" t="inlineStr">
        <is>
          <t>2022\SDRW2200002419.1.1.72.wav</t>
        </is>
      </c>
      <c r="U22" s="3" t="inlineStr">
        <is>
          <t>2022\SDRW2200002419.1.1.72.lab</t>
        </is>
      </c>
      <c r="V22" s="3" t="inlineStr">
        <is>
          <t>2022\SDRW2200002419.1.1.72.TextGrid</t>
        </is>
      </c>
      <c r="W22" s="3" t="inlineStr">
        <is>
          <t>2022\SDRW2200002419.1.1.72.csv</t>
        </is>
      </c>
      <c r="X22" s="3" t="inlineStr"/>
      <c r="Y22" s="3" t="inlineStr"/>
    </row>
    <row r="23">
      <c r="A23" s="3" t="inlineStr">
        <is>
          <t>2022</t>
        </is>
      </c>
      <c r="B23" s="3" t="inlineStr">
        <is>
          <t>SD2201149</t>
        </is>
      </c>
      <c r="C23" s="3" t="inlineStr">
        <is>
          <t>SDRW2200002419</t>
        </is>
      </c>
      <c r="D23" s="3" t="inlineStr">
        <is>
          <t>SDRW2200002419.1</t>
        </is>
      </c>
      <c r="E23" s="3" t="inlineStr">
        <is>
          <t>SD2201149 | SD2201150</t>
        </is>
      </c>
      <c r="F23" s="3" t="inlineStr">
        <is>
          <t>2</t>
        </is>
      </c>
      <c r="G23" s="3" t="inlineStr">
        <is>
          <t>SD2201150</t>
        </is>
      </c>
      <c r="H23" s="3" t="inlineStr">
        <is>
          <t>1</t>
        </is>
      </c>
      <c r="I23" s="3" t="inlineStr">
        <is>
          <t>SDRW2200002419.1.1.411</t>
        </is>
      </c>
      <c r="J23" s="3" t="inlineStr">
        <is>
          <t>무거운 거 다 내가 쌓아야 되고 옮겨야 되고</t>
        </is>
      </c>
      <c r="K23" s="3" t="inlineStr">
        <is>
          <t>무거운 거 다 내가 쌓아야 되고 옮겨야 되고</t>
        </is>
      </c>
      <c r="L23" s="3" t="inlineStr">
        <is>
          <t>무거운 거 다 내가 싸아야 되고 옴겨야 되고</t>
        </is>
      </c>
      <c r="M23" s="3" t="inlineStr">
        <is>
          <t>무거운 거 다 내가 쌓아야 되고 옮겨야 되고</t>
        </is>
      </c>
      <c r="N23" s="3" t="inlineStr">
        <is>
          <t>무거운 거 다 내가 싸아야 되고 옴겨야 되고</t>
        </is>
      </c>
      <c r="O23" s="3" t="inlineStr">
        <is>
          <t>form_rule_prediction</t>
        </is>
      </c>
      <c r="P23" s="3" t="inlineStr">
        <is>
          <t>resolved_form</t>
        </is>
      </c>
      <c r="Q23" s="3" t="inlineStr">
        <is>
          <t>labeled_word_slots</t>
        </is>
      </c>
      <c r="R23" s="3" t="inlineStr">
        <is>
          <t>labeled_word_slots</t>
        </is>
      </c>
      <c r="S23" s="3" t="inlineStr"/>
      <c r="T23" s="3" t="inlineStr">
        <is>
          <t>2022\SDRW2200002419.1.1.411.wav</t>
        </is>
      </c>
      <c r="U23" s="3" t="inlineStr">
        <is>
          <t>2022\SDRW2200002419.1.1.411.lab</t>
        </is>
      </c>
      <c r="V23" s="3" t="inlineStr">
        <is>
          <t>2022\SDRW2200002419.1.1.411.TextGrid</t>
        </is>
      </c>
      <c r="W23" s="3" t="inlineStr">
        <is>
          <t>2022\SDRW2200002419.1.1.411.csv</t>
        </is>
      </c>
      <c r="X23" s="3" t="inlineStr"/>
      <c r="Y23" s="3" t="inlineStr"/>
    </row>
    <row r="24">
      <c r="A24" s="3" t="inlineStr">
        <is>
          <t>2022</t>
        </is>
      </c>
      <c r="B24" s="3" t="inlineStr">
        <is>
          <t>SD2201235</t>
        </is>
      </c>
      <c r="C24" s="3" t="inlineStr">
        <is>
          <t>SDRW2200000836</t>
        </is>
      </c>
      <c r="D24" s="3" t="inlineStr">
        <is>
          <t>SDRW2200000836.1</t>
        </is>
      </c>
      <c r="E24" s="3" t="inlineStr">
        <is>
          <t>SD2201235 | SD2201236</t>
        </is>
      </c>
      <c r="F24" s="3" t="inlineStr">
        <is>
          <t>2</t>
        </is>
      </c>
      <c r="G24" s="3" t="inlineStr">
        <is>
          <t>SD2201236</t>
        </is>
      </c>
      <c r="H24" s="3" t="inlineStr">
        <is>
          <t>1</t>
        </is>
      </c>
      <c r="I24" s="3" t="inlineStr">
        <is>
          <t>SDRW2200000836.1.1.61</t>
        </is>
      </c>
      <c r="J24" s="3" t="inlineStr">
        <is>
          <t>꽃에 모양은 어땠어?</t>
        </is>
      </c>
      <c r="K24" s="3" t="inlineStr">
        <is>
          <t>꽃에 모양은 어땠어?</t>
        </is>
      </c>
      <c r="L24" s="3" t="inlineStr">
        <is>
          <t>꼬체 모양은 어때써</t>
        </is>
      </c>
      <c r="M24" s="3" t="inlineStr">
        <is>
          <t>꽃에 모양은 어땠어?</t>
        </is>
      </c>
      <c r="N24" s="3" t="inlineStr">
        <is>
          <t>꼬체 모양은 어때써</t>
        </is>
      </c>
      <c r="O24" s="3" t="inlineStr">
        <is>
          <t>form_rule_prediction</t>
        </is>
      </c>
      <c r="P24" s="3" t="inlineStr">
        <is>
          <t>resolved_form</t>
        </is>
      </c>
      <c r="Q24" s="3" t="inlineStr">
        <is>
          <t>labeled_word_slots</t>
        </is>
      </c>
      <c r="R24" s="3" t="inlineStr">
        <is>
          <t>labeled_word_slots</t>
        </is>
      </c>
      <c r="S24" s="3" t="inlineStr"/>
      <c r="T24" s="3" t="inlineStr">
        <is>
          <t>2022\SDRW2200000836.1.1.61.wav</t>
        </is>
      </c>
      <c r="U24" s="3" t="inlineStr">
        <is>
          <t>2022\SDRW2200000836.1.1.61.lab</t>
        </is>
      </c>
      <c r="V24" s="3" t="inlineStr">
        <is>
          <t>2022\SDRW2200000836.1.1.61.TextGrid</t>
        </is>
      </c>
      <c r="W24" s="3" t="inlineStr">
        <is>
          <t>2022\SDRW2200000836.1.1.61.csv</t>
        </is>
      </c>
      <c r="X24" s="3" t="inlineStr"/>
      <c r="Y24" s="3" t="inlineStr"/>
    </row>
    <row r="25">
      <c r="A25" s="3" t="inlineStr">
        <is>
          <t>2022</t>
        </is>
      </c>
      <c r="B25" s="3" t="inlineStr">
        <is>
          <t>SD2201235</t>
        </is>
      </c>
      <c r="C25" s="3" t="inlineStr">
        <is>
          <t>SDRW2200000836</t>
        </is>
      </c>
      <c r="D25" s="3" t="inlineStr">
        <is>
          <t>SDRW2200000836.1</t>
        </is>
      </c>
      <c r="E25" s="3" t="inlineStr">
        <is>
          <t>SD2201235 | SD2201236</t>
        </is>
      </c>
      <c r="F25" s="3" t="inlineStr">
        <is>
          <t>2</t>
        </is>
      </c>
      <c r="G25" s="3" t="inlineStr">
        <is>
          <t>SD2201236</t>
        </is>
      </c>
      <c r="H25" s="3" t="inlineStr">
        <is>
          <t>1</t>
        </is>
      </c>
      <c r="I25" s="3" t="inlineStr">
        <is>
          <t>SDRW2200000836.1.1.119</t>
        </is>
      </c>
      <c r="J25" s="3" t="inlineStr">
        <is>
          <t>그렇네 그 정도만 돼도 좋을 텐데 철물 구조 그거 되게 비쌌을 텐데.</t>
        </is>
      </c>
      <c r="K25" s="3" t="inlineStr">
        <is>
          <t>그렇네 그 정도만 돼도 좋을 텐데 철물 구조 그거 되게 비쌌을 텐데.</t>
        </is>
      </c>
      <c r="L25" s="3" t="inlineStr">
        <is>
          <t>그런네 그 정도만 돼도 조을 텐데 철물 구조 그거 되게 비싸쓸 텐데</t>
        </is>
      </c>
      <c r="M25" s="3" t="inlineStr">
        <is>
          <t>그렇네 그 정도만 돼도 좋을 텐데 철물 구조 그거 되게 비쌌을 텐데.</t>
        </is>
      </c>
      <c r="N25" s="3" t="inlineStr">
        <is>
          <t>그런네 그 정도만 돼도 조을 텐데 철물 구조 그거 되게 비싸쓸 텐데</t>
        </is>
      </c>
      <c r="O25" s="3" t="inlineStr">
        <is>
          <t>form_rule_prediction</t>
        </is>
      </c>
      <c r="P25" s="3" t="inlineStr">
        <is>
          <t>resolved_form</t>
        </is>
      </c>
      <c r="Q25" s="3" t="inlineStr">
        <is>
          <t>labeled_word_slots</t>
        </is>
      </c>
      <c r="R25" s="3" t="inlineStr">
        <is>
          <t>labeled_word_slots</t>
        </is>
      </c>
      <c r="S25" s="3" t="inlineStr"/>
      <c r="T25" s="3" t="inlineStr">
        <is>
          <t>2022\SDRW2200000836.1.1.119.wav</t>
        </is>
      </c>
      <c r="U25" s="3" t="inlineStr">
        <is>
          <t>2022\SDRW2200000836.1.1.119.lab</t>
        </is>
      </c>
      <c r="V25" s="3" t="inlineStr">
        <is>
          <t>2022\SDRW2200000836.1.1.119.TextGrid</t>
        </is>
      </c>
      <c r="W25" s="3" t="inlineStr">
        <is>
          <t>2022\SDRW2200000836.1.1.119.csv</t>
        </is>
      </c>
      <c r="X25" s="3" t="inlineStr"/>
      <c r="Y25" s="3" t="inlineStr"/>
    </row>
    <row r="26">
      <c r="A26" s="3" t="inlineStr">
        <is>
          <t>2022</t>
        </is>
      </c>
      <c r="B26" s="3" t="inlineStr">
        <is>
          <t>SD2201782</t>
        </is>
      </c>
      <c r="C26" s="3" t="inlineStr">
        <is>
          <t>SDRW2200001237</t>
        </is>
      </c>
      <c r="D26" s="3" t="inlineStr">
        <is>
          <t>SDRW2200001237.1</t>
        </is>
      </c>
      <c r="E26" s="3" t="inlineStr">
        <is>
          <t>SD2201781 | SD2201782</t>
        </is>
      </c>
      <c r="F26" s="3" t="inlineStr">
        <is>
          <t>2</t>
        </is>
      </c>
      <c r="G26" s="3" t="inlineStr">
        <is>
          <t>SD2201781</t>
        </is>
      </c>
      <c r="H26" s="3" t="inlineStr">
        <is>
          <t>1</t>
        </is>
      </c>
      <c r="I26" s="3" t="inlineStr">
        <is>
          <t>SDRW2200001237.1.1.223</t>
        </is>
      </c>
      <c r="J26" s="3" t="inlineStr">
        <is>
          <t>나는 연락을 받았는데 자기는 안 가고 싶어하고</t>
        </is>
      </c>
      <c r="K26" s="3" t="inlineStr">
        <is>
          <t>나는 연락을 받았는데 자기는 안 가고 싶어하고</t>
        </is>
      </c>
      <c r="L26" s="3" t="inlineStr">
        <is>
          <t>나는 열라글 바단는데 자기는 안 가고 시퍼하고</t>
        </is>
      </c>
      <c r="M26" s="3" t="inlineStr">
        <is>
          <t>나는 연락을 받았는데 자기는 안 가고 싶어하고</t>
        </is>
      </c>
      <c r="N26" s="3" t="inlineStr">
        <is>
          <t>나는 열라글 바단는데 자기는 안 가고 시퍼하고</t>
        </is>
      </c>
      <c r="O26" s="3" t="inlineStr">
        <is>
          <t>form_rule_prediction</t>
        </is>
      </c>
      <c r="P26" s="3" t="inlineStr">
        <is>
          <t>resolved_form</t>
        </is>
      </c>
      <c r="Q26" s="3" t="inlineStr">
        <is>
          <t>labeled_word_slots</t>
        </is>
      </c>
      <c r="R26" s="3" t="inlineStr">
        <is>
          <t>labeled_word_slots</t>
        </is>
      </c>
      <c r="S26" s="3" t="inlineStr"/>
      <c r="T26" s="3" t="inlineStr">
        <is>
          <t>2022\SDRW2200001237.1.1.223.wav</t>
        </is>
      </c>
      <c r="U26" s="3" t="inlineStr">
        <is>
          <t>2022\SDRW2200001237.1.1.223.lab</t>
        </is>
      </c>
      <c r="V26" s="3" t="inlineStr">
        <is>
          <t>2022\SDRW2200001237.1.1.223.TextGrid</t>
        </is>
      </c>
      <c r="W26" s="3" t="inlineStr">
        <is>
          <t>2022\SDRW2200001237.1.1.223.csv</t>
        </is>
      </c>
      <c r="X26" s="3" t="inlineStr"/>
      <c r="Y26" s="3" t="inlineStr"/>
    </row>
    <row r="27">
      <c r="A27" s="3" t="inlineStr">
        <is>
          <t>2022</t>
        </is>
      </c>
      <c r="B27" s="3" t="inlineStr">
        <is>
          <t>SD2201782</t>
        </is>
      </c>
      <c r="C27" s="3" t="inlineStr">
        <is>
          <t>SDRW2200001237</t>
        </is>
      </c>
      <c r="D27" s="3" t="inlineStr">
        <is>
          <t>SDRW2200001237.1</t>
        </is>
      </c>
      <c r="E27" s="3" t="inlineStr">
        <is>
          <t>SD2201781 | SD2201782</t>
        </is>
      </c>
      <c r="F27" s="3" t="inlineStr">
        <is>
          <t>2</t>
        </is>
      </c>
      <c r="G27" s="3" t="inlineStr">
        <is>
          <t>SD2201781</t>
        </is>
      </c>
      <c r="H27" s="3" t="inlineStr">
        <is>
          <t>1</t>
        </is>
      </c>
      <c r="I27" s="3" t="inlineStr">
        <is>
          <t>SDRW2200001237.1.1.105</t>
        </is>
      </c>
      <c r="J27" s="3" t="inlineStr">
        <is>
          <t>며느리 사랑은 시아버지야.</t>
        </is>
      </c>
      <c r="K27" s="3" t="inlineStr">
        <is>
          <t>며느리 사랑은 시아버지야.</t>
        </is>
      </c>
      <c r="L27" s="3" t="inlineStr">
        <is>
          <t>며느리 사랑은 시아버지야</t>
        </is>
      </c>
      <c r="M27" s="3" t="inlineStr">
        <is>
          <t>며느리 사랑은 시아버지야.</t>
        </is>
      </c>
      <c r="N27" s="3" t="inlineStr">
        <is>
          <t>며느리 사랑은 시아버지야</t>
        </is>
      </c>
      <c r="O27" s="3" t="inlineStr">
        <is>
          <t>form_rule_prediction</t>
        </is>
      </c>
      <c r="P27" s="3" t="inlineStr">
        <is>
          <t>resolved_form</t>
        </is>
      </c>
      <c r="Q27" s="3" t="inlineStr">
        <is>
          <t>all_lexical_slots</t>
        </is>
      </c>
      <c r="R27" s="3" t="inlineStr">
        <is>
          <t>all_lexical_slots</t>
        </is>
      </c>
      <c r="S27" s="3" t="inlineStr"/>
      <c r="T27" s="3" t="inlineStr">
        <is>
          <t>2022\SDRW2200001237.1.1.105.wav</t>
        </is>
      </c>
      <c r="U27" s="3" t="inlineStr">
        <is>
          <t>2022\SDRW2200001237.1.1.105.lab</t>
        </is>
      </c>
      <c r="V27" s="3" t="inlineStr">
        <is>
          <t>2022\SDRW2200001237.1.1.105.TextGrid</t>
        </is>
      </c>
      <c r="W27" s="3" t="inlineStr">
        <is>
          <t>2022\SDRW2200001237.1.1.105.csv</t>
        </is>
      </c>
      <c r="X27" s="3" t="inlineStr"/>
      <c r="Y27" s="3" t="inlineStr"/>
    </row>
    <row r="28">
      <c r="A28" s="3" t="inlineStr">
        <is>
          <t>2022</t>
        </is>
      </c>
      <c r="B28" s="3" t="inlineStr">
        <is>
          <t>SD2202054</t>
        </is>
      </c>
      <c r="C28" s="3" t="inlineStr">
        <is>
          <t>SDRW2200001570</t>
        </is>
      </c>
      <c r="D28" s="3" t="inlineStr">
        <is>
          <t>SDRW2200001570.1</t>
        </is>
      </c>
      <c r="E28" s="3" t="inlineStr">
        <is>
          <t>SD2202054 | SD2202055</t>
        </is>
      </c>
      <c r="F28" s="3" t="inlineStr">
        <is>
          <t>2</t>
        </is>
      </c>
      <c r="G28" s="3" t="inlineStr">
        <is>
          <t>SD2202055</t>
        </is>
      </c>
      <c r="H28" s="3" t="inlineStr">
        <is>
          <t>1</t>
        </is>
      </c>
      <c r="I28" s="3" t="inlineStr">
        <is>
          <t>SDRW2200001570.1.1.280</t>
        </is>
      </c>
      <c r="J28" s="3" t="inlineStr">
        <is>
          <t>그렇다고 우리 세금을 낼 수 이 우예</t>
        </is>
      </c>
      <c r="K28" s="3" t="inlineStr">
        <is>
          <t>그렇다고 우리 세금을 낼 수 이 ((우예))</t>
        </is>
      </c>
      <c r="L28" s="3" t="inlineStr">
        <is>
          <t>그러타고 우리 세그믈 낼 수 이 우예</t>
        </is>
      </c>
      <c r="M28" s="3" t="inlineStr">
        <is>
          <t>그렇다고 우리 세금을 낼 수 이 우예</t>
        </is>
      </c>
      <c r="N28" s="3" t="inlineStr">
        <is>
          <t>그러타고 우리 세그믈 낼 수 이 우예</t>
        </is>
      </c>
      <c r="O28" s="3" t="inlineStr">
        <is>
          <t>form_rule_prediction</t>
        </is>
      </c>
      <c r="P28" s="3" t="inlineStr">
        <is>
          <t>resolved_form</t>
        </is>
      </c>
      <c r="Q28" s="3" t="inlineStr">
        <is>
          <t>labeled_word_slots</t>
        </is>
      </c>
      <c r="R28" s="3" t="inlineStr">
        <is>
          <t>labeled_word_slots</t>
        </is>
      </c>
      <c r="S28" s="3" t="inlineStr"/>
      <c r="T28" s="3" t="inlineStr">
        <is>
          <t>2022\SDRW2200001570.1.1.280.wav</t>
        </is>
      </c>
      <c r="U28" s="3" t="inlineStr">
        <is>
          <t>2022\SDRW2200001570.1.1.280.lab</t>
        </is>
      </c>
      <c r="V28" s="3" t="inlineStr">
        <is>
          <t>2022\SDRW2200001570.1.1.280.TextGrid</t>
        </is>
      </c>
      <c r="W28" s="3" t="inlineStr">
        <is>
          <t>2022\SDRW2200001570.1.1.280.csv</t>
        </is>
      </c>
      <c r="X28" s="3" t="inlineStr"/>
      <c r="Y28" s="3" t="inlineStr"/>
    </row>
    <row r="29">
      <c r="A29" s="3" t="inlineStr">
        <is>
          <t>2022</t>
        </is>
      </c>
      <c r="B29" s="3" t="inlineStr">
        <is>
          <t>SD2202054</t>
        </is>
      </c>
      <c r="C29" s="3" t="inlineStr">
        <is>
          <t>SDRW2200001570</t>
        </is>
      </c>
      <c r="D29" s="3" t="inlineStr">
        <is>
          <t>SDRW2200001570.1</t>
        </is>
      </c>
      <c r="E29" s="3" t="inlineStr">
        <is>
          <t>SD2202054 | SD2202055</t>
        </is>
      </c>
      <c r="F29" s="3" t="inlineStr">
        <is>
          <t>2</t>
        </is>
      </c>
      <c r="G29" s="3" t="inlineStr">
        <is>
          <t>SD2202055</t>
        </is>
      </c>
      <c r="H29" s="3" t="inlineStr">
        <is>
          <t>1</t>
        </is>
      </c>
      <c r="I29" s="3" t="inlineStr">
        <is>
          <t>SDRW2200001570.1.1.313</t>
        </is>
      </c>
      <c r="J29" s="3" t="inlineStr">
        <is>
          <t>일단 입양이 돼 가지고</t>
        </is>
      </c>
      <c r="K29" s="3" t="inlineStr">
        <is>
          <t>일단 입양이 돼 가지구</t>
        </is>
      </c>
      <c r="L29" s="3" t="inlineStr">
        <is>
          <t>일단 이뱡이 돼 가지고</t>
        </is>
      </c>
      <c r="M29" s="3" t="inlineStr">
        <is>
          <t>일단 입양이 돼 가지고</t>
        </is>
      </c>
      <c r="N29" s="3" t="inlineStr">
        <is>
          <t>일단 이뱡이 돼 가지고</t>
        </is>
      </c>
      <c r="O29" s="3" t="inlineStr">
        <is>
          <t>form_rule_prediction</t>
        </is>
      </c>
      <c r="P29" s="3" t="inlineStr">
        <is>
          <t>resolved_form</t>
        </is>
      </c>
      <c r="Q29" s="3" t="inlineStr">
        <is>
          <t>all_lexical_slots</t>
        </is>
      </c>
      <c r="R29" s="3" t="inlineStr">
        <is>
          <t>all_lexical_slots</t>
        </is>
      </c>
      <c r="S29" s="3" t="inlineStr"/>
      <c r="T29" s="3" t="inlineStr">
        <is>
          <t>2022\SDRW2200001570.1.1.313.wav</t>
        </is>
      </c>
      <c r="U29" s="3" t="inlineStr">
        <is>
          <t>2022\SDRW2200001570.1.1.313.lab</t>
        </is>
      </c>
      <c r="V29" s="3" t="inlineStr">
        <is>
          <t>2022\SDRW2200001570.1.1.313.TextGrid</t>
        </is>
      </c>
      <c r="W29" s="3" t="inlineStr">
        <is>
          <t>2022\SDRW2200001570.1.1.313.csv</t>
        </is>
      </c>
      <c r="X29" s="3" t="inlineStr"/>
      <c r="Y29" s="3" t="inlineStr"/>
    </row>
    <row r="30">
      <c r="A30" s="3" t="inlineStr">
        <is>
          <t>2022</t>
        </is>
      </c>
      <c r="B30" s="3" t="inlineStr">
        <is>
          <t>SD2202257</t>
        </is>
      </c>
      <c r="C30" s="3" t="inlineStr">
        <is>
          <t>SDRW2200002341</t>
        </is>
      </c>
      <c r="D30" s="3" t="inlineStr">
        <is>
          <t>SDRW2200002341.1</t>
        </is>
      </c>
      <c r="E30" s="3" t="inlineStr">
        <is>
          <t>SD2202257 | SD2202258</t>
        </is>
      </c>
      <c r="F30" s="3" t="inlineStr">
        <is>
          <t>2</t>
        </is>
      </c>
      <c r="G30" s="3" t="inlineStr">
        <is>
          <t>SD2202258</t>
        </is>
      </c>
      <c r="H30" s="3" t="inlineStr">
        <is>
          <t>1</t>
        </is>
      </c>
      <c r="I30" s="3" t="inlineStr">
        <is>
          <t>SDRW2200002341.1.1.85</t>
        </is>
      </c>
      <c r="J30" s="3" t="inlineStr">
        <is>
          <t>옛날 생각하면 참 빨리 놀았는데 그렇죠?</t>
        </is>
      </c>
      <c r="K30" s="3" t="inlineStr">
        <is>
          <t>옛날 생각하면 참 빨리 놀았는데 그쵸?</t>
        </is>
      </c>
      <c r="L30" s="3" t="inlineStr">
        <is>
          <t>옌날 생가카면 참 빨리 노란는데 그러쵸</t>
        </is>
      </c>
      <c r="M30" s="3" t="inlineStr">
        <is>
          <t>옛날 생각하면 참 빨리 놀았는데 그렇죠?</t>
        </is>
      </c>
      <c r="N30" s="3" t="inlineStr">
        <is>
          <t>옌날 생가카면 참 빨리 노란는데 그러쵸</t>
        </is>
      </c>
      <c r="O30" s="3" t="inlineStr">
        <is>
          <t>form_rule_prediction</t>
        </is>
      </c>
      <c r="P30" s="3" t="inlineStr">
        <is>
          <t>resolved_form</t>
        </is>
      </c>
      <c r="Q30" s="3" t="inlineStr">
        <is>
          <t>labeled_word_slots</t>
        </is>
      </c>
      <c r="R30" s="3" t="inlineStr">
        <is>
          <t>labeled_word_slots</t>
        </is>
      </c>
      <c r="S30" s="3" t="inlineStr"/>
      <c r="T30" s="3" t="inlineStr">
        <is>
          <t>2022\SDRW2200002341.1.1.85.wav</t>
        </is>
      </c>
      <c r="U30" s="3" t="inlineStr">
        <is>
          <t>2022\SDRW2200002341.1.1.85.lab</t>
        </is>
      </c>
      <c r="V30" s="3" t="inlineStr">
        <is>
          <t>2022\SDRW2200002341.1.1.85.TextGrid</t>
        </is>
      </c>
      <c r="W30" s="3" t="inlineStr">
        <is>
          <t>2022\SDRW2200002341.1.1.85.csv</t>
        </is>
      </c>
      <c r="X30" s="3" t="inlineStr"/>
      <c r="Y30" s="3" t="inlineStr"/>
    </row>
    <row r="31">
      <c r="A31" s="3" t="inlineStr">
        <is>
          <t>2022</t>
        </is>
      </c>
      <c r="B31" s="3" t="inlineStr">
        <is>
          <t>SD2202257</t>
        </is>
      </c>
      <c r="C31" s="3" t="inlineStr">
        <is>
          <t>SDRW2200002341</t>
        </is>
      </c>
      <c r="D31" s="3" t="inlineStr">
        <is>
          <t>SDRW2200002341.1</t>
        </is>
      </c>
      <c r="E31" s="3" t="inlineStr">
        <is>
          <t>SD2202257 | SD2202258</t>
        </is>
      </c>
      <c r="F31" s="3" t="inlineStr">
        <is>
          <t>2</t>
        </is>
      </c>
      <c r="G31" s="3" t="inlineStr">
        <is>
          <t>SD2202258</t>
        </is>
      </c>
      <c r="H31" s="3" t="inlineStr">
        <is>
          <t>1</t>
        </is>
      </c>
      <c r="I31" s="3" t="inlineStr">
        <is>
          <t>SDRW2200002341.1.1.13</t>
        </is>
      </c>
      <c r="J31" s="3" t="inlineStr">
        <is>
          <t>그렇죠. 이사하고 나서 그 도로 주변에 있는 가게들이</t>
        </is>
      </c>
      <c r="K31" s="3" t="inlineStr">
        <is>
          <t>그렇죠. 이사하고 나서 그 도로 주변에 있는 가게들이</t>
        </is>
      </c>
      <c r="L31" s="3" t="inlineStr">
        <is>
          <t>그러쵸 이사하고 나서 그 도로 주벼네 인는 가게드리</t>
        </is>
      </c>
      <c r="M31" s="3" t="inlineStr">
        <is>
          <t>그렇죠. 이사하고 나서 그 도로 주변에 있는 가게들이</t>
        </is>
      </c>
      <c r="N31" s="3" t="inlineStr">
        <is>
          <t>그러쵸 이사하고 나서 그 도로 주벼네 인는 가게드리</t>
        </is>
      </c>
      <c r="O31" s="3" t="inlineStr">
        <is>
          <t>form_rule_prediction</t>
        </is>
      </c>
      <c r="P31" s="3" t="inlineStr">
        <is>
          <t>resolved_form</t>
        </is>
      </c>
      <c r="Q31" s="3" t="inlineStr">
        <is>
          <t>labeled_word_slots</t>
        </is>
      </c>
      <c r="R31" s="3" t="inlineStr">
        <is>
          <t>labeled_word_slots</t>
        </is>
      </c>
      <c r="S31" s="3" t="inlineStr"/>
      <c r="T31" s="3" t="inlineStr">
        <is>
          <t>2022\SDRW2200002341.1.1.13.wav</t>
        </is>
      </c>
      <c r="U31" s="3" t="inlineStr">
        <is>
          <t>2022\SDRW2200002341.1.1.13.lab</t>
        </is>
      </c>
      <c r="V31" s="3" t="inlineStr">
        <is>
          <t>2022\SDRW2200002341.1.1.13.TextGrid</t>
        </is>
      </c>
      <c r="W31" s="3" t="inlineStr">
        <is>
          <t>2022\SDRW2200002341.1.1.13.csv</t>
        </is>
      </c>
      <c r="X31" s="3" t="inlineStr"/>
      <c r="Y31" s="3" t="inlineStr"/>
    </row>
    <row r="32">
      <c r="A32" s="3" t="inlineStr">
        <is>
          <t>2023</t>
        </is>
      </c>
      <c r="B32" s="3" t="inlineStr">
        <is>
          <t>SD2300956</t>
        </is>
      </c>
      <c r="C32" s="3" t="inlineStr">
        <is>
          <t>SDRW2300000901</t>
        </is>
      </c>
      <c r="D32" s="3" t="inlineStr">
        <is>
          <t>SDRW2300000901.1</t>
        </is>
      </c>
      <c r="E32" s="3" t="inlineStr">
        <is>
          <t>SD2300956 | SD2300957</t>
        </is>
      </c>
      <c r="F32" s="3" t="inlineStr">
        <is>
          <t>2</t>
        </is>
      </c>
      <c r="G32" s="3" t="inlineStr">
        <is>
          <t>SD2300957</t>
        </is>
      </c>
      <c r="H32" s="3" t="inlineStr">
        <is>
          <t>1</t>
        </is>
      </c>
      <c r="I32" s="3" t="inlineStr">
        <is>
          <t>SDRW2300000901.1.1.177</t>
        </is>
      </c>
      <c r="J32" s="3" t="inlineStr">
        <is>
          <t>나는</t>
        </is>
      </c>
      <c r="K32" s="3" t="inlineStr">
        <is>
          <t>나는</t>
        </is>
      </c>
      <c r="L32" s="3" t="inlineStr">
        <is>
          <t>나는</t>
        </is>
      </c>
      <c r="M32" s="3" t="inlineStr">
        <is>
          <t>나는</t>
        </is>
      </c>
      <c r="N32" s="3" t="inlineStr">
        <is>
          <t>나는</t>
        </is>
      </c>
      <c r="O32" s="3" t="inlineStr">
        <is>
          <t>form_rule_prediction</t>
        </is>
      </c>
      <c r="P32" s="3" t="inlineStr">
        <is>
          <t>resolved_form</t>
        </is>
      </c>
      <c r="Q32" s="3" t="inlineStr">
        <is>
          <t>all_lexical_slots</t>
        </is>
      </c>
      <c r="R32" s="3" t="inlineStr">
        <is>
          <t>all_lexical_slots</t>
        </is>
      </c>
      <c r="S32" s="3" t="inlineStr"/>
      <c r="T32" s="3" t="inlineStr">
        <is>
          <t>2023\SDRW2300000901.1.1.177.wav</t>
        </is>
      </c>
      <c r="U32" s="3" t="inlineStr">
        <is>
          <t>2023\SDRW2300000901.1.1.177.lab</t>
        </is>
      </c>
      <c r="V32" s="3" t="inlineStr">
        <is>
          <t>2023\SDRW2300000901.1.1.177.TextGrid</t>
        </is>
      </c>
      <c r="W32" s="3" t="inlineStr">
        <is>
          <t>2023\SDRW2300000901.1.1.177.csv</t>
        </is>
      </c>
      <c r="X32" s="3" t="inlineStr"/>
      <c r="Y32" s="3" t="inlineStr"/>
    </row>
    <row r="33">
      <c r="A33" s="3" t="inlineStr">
        <is>
          <t>2023</t>
        </is>
      </c>
      <c r="B33" s="3" t="inlineStr">
        <is>
          <t>SD2300956</t>
        </is>
      </c>
      <c r="C33" s="3" t="inlineStr">
        <is>
          <t>SDRW2300000901</t>
        </is>
      </c>
      <c r="D33" s="3" t="inlineStr">
        <is>
          <t>SDRW2300000901.1</t>
        </is>
      </c>
      <c r="E33" s="3" t="inlineStr">
        <is>
          <t>SD2300956 | SD2300957</t>
        </is>
      </c>
      <c r="F33" s="3" t="inlineStr">
        <is>
          <t>2</t>
        </is>
      </c>
      <c r="G33" s="3" t="inlineStr">
        <is>
          <t>SD2300957</t>
        </is>
      </c>
      <c r="H33" s="3" t="inlineStr">
        <is>
          <t>1</t>
        </is>
      </c>
      <c r="I33" s="3" t="inlineStr">
        <is>
          <t>SDRW2300000901.1.1.346</t>
        </is>
      </c>
      <c r="J33" s="3" t="inlineStr">
        <is>
          <t>좋은 거 같아.</t>
        </is>
      </c>
      <c r="K33" s="3" t="inlineStr">
        <is>
          <t>좋은 거 같애.</t>
        </is>
      </c>
      <c r="L33" s="3" t="inlineStr">
        <is>
          <t>조은 거 가타</t>
        </is>
      </c>
      <c r="M33" s="3" t="inlineStr">
        <is>
          <t>좋은 거 같아.</t>
        </is>
      </c>
      <c r="N33" s="3" t="inlineStr">
        <is>
          <t>조은 거 가타</t>
        </is>
      </c>
      <c r="O33" s="3" t="inlineStr">
        <is>
          <t>form_rule_prediction</t>
        </is>
      </c>
      <c r="P33" s="3" t="inlineStr">
        <is>
          <t>resolved_form</t>
        </is>
      </c>
      <c r="Q33" s="3" t="inlineStr">
        <is>
          <t>all_lexical_slots</t>
        </is>
      </c>
      <c r="R33" s="3" t="inlineStr">
        <is>
          <t>all_lexical_slots</t>
        </is>
      </c>
      <c r="S33" s="3" t="inlineStr"/>
      <c r="T33" s="3" t="inlineStr">
        <is>
          <t>2023\SDRW2300000901.1.1.346.wav</t>
        </is>
      </c>
      <c r="U33" s="3" t="inlineStr">
        <is>
          <t>2023\SDRW2300000901.1.1.346.lab</t>
        </is>
      </c>
      <c r="V33" s="3" t="inlineStr">
        <is>
          <t>2023\SDRW2300000901.1.1.346.TextGrid</t>
        </is>
      </c>
      <c r="W33" s="3" t="inlineStr">
        <is>
          <t>2023\SDRW2300000901.1.1.346.csv</t>
        </is>
      </c>
      <c r="X33" s="3" t="inlineStr"/>
      <c r="Y33" s="3" t="inlineStr"/>
    </row>
    <row r="34">
      <c r="A34" s="3" t="inlineStr">
        <is>
          <t>2023</t>
        </is>
      </c>
      <c r="B34" s="3" t="inlineStr">
        <is>
          <t>SD2301436</t>
        </is>
      </c>
      <c r="C34" s="3" t="inlineStr">
        <is>
          <t>SDRW2300001301</t>
        </is>
      </c>
      <c r="D34" s="3" t="inlineStr">
        <is>
          <t>SDRW2300001301.1</t>
        </is>
      </c>
      <c r="E34" s="3" t="inlineStr">
        <is>
          <t>SD2301434 | SD2301435 | SD2301436 | SD2301437</t>
        </is>
      </c>
      <c r="F34" s="3" t="inlineStr">
        <is>
          <t>4</t>
        </is>
      </c>
      <c r="G34" s="3" t="inlineStr">
        <is>
          <t>SD2301434 | SD2301435 | SD2301437</t>
        </is>
      </c>
      <c r="H34" s="3" t="inlineStr">
        <is>
          <t>3</t>
        </is>
      </c>
      <c r="I34" s="3" t="inlineStr">
        <is>
          <t>SDRW2300001301.1.1.142</t>
        </is>
      </c>
      <c r="J34" s="3" t="inlineStr">
        <is>
          <t>선생님은 이직할 때 꿀팁이 있으신가요?</t>
        </is>
      </c>
      <c r="K34" s="3" t="inlineStr">
        <is>
          <t>선생님은 이직할 때 꿀팁이 있으신가요? {laughing}</t>
        </is>
      </c>
      <c r="L34" s="3" t="inlineStr">
        <is>
          <t>선생니믄 이지칼 때 꿀티비 이쓰신가요</t>
        </is>
      </c>
      <c r="M34" s="3" t="inlineStr">
        <is>
          <t>선생님은 이직할 때 꿀팁이 있으신가요?</t>
        </is>
      </c>
      <c r="N34" s="3" t="inlineStr">
        <is>
          <t>선생니믄 이지칼 때 꿀티비 이쓰신가요</t>
        </is>
      </c>
      <c r="O34" s="3" t="inlineStr">
        <is>
          <t>form_rule_prediction</t>
        </is>
      </c>
      <c r="P34" s="3" t="inlineStr">
        <is>
          <t>resolved_form</t>
        </is>
      </c>
      <c r="Q34" s="3" t="inlineStr">
        <is>
          <t>all_lexical_slots</t>
        </is>
      </c>
      <c r="R34" s="3" t="inlineStr">
        <is>
          <t>labeled_word_slots</t>
        </is>
      </c>
      <c r="S34" s="3" t="inlineStr"/>
      <c r="T34" s="3" t="inlineStr">
        <is>
          <t>2023\SDRW2300001301.1.1.142.wav</t>
        </is>
      </c>
      <c r="U34" s="3" t="inlineStr">
        <is>
          <t>2023\SDRW2300001301.1.1.142.lab</t>
        </is>
      </c>
      <c r="V34" s="3" t="inlineStr">
        <is>
          <t>2023\SDRW2300001301.1.1.142.TextGrid</t>
        </is>
      </c>
      <c r="W34" s="3" t="inlineStr">
        <is>
          <t>2023\SDRW2300001301.1.1.142.csv</t>
        </is>
      </c>
      <c r="X34" s="3" t="inlineStr"/>
      <c r="Y34" s="3" t="inlineStr"/>
    </row>
    <row r="35">
      <c r="A35" s="3" t="inlineStr">
        <is>
          <t>2023</t>
        </is>
      </c>
      <c r="B35" s="3" t="inlineStr">
        <is>
          <t>SD2301436</t>
        </is>
      </c>
      <c r="C35" s="3" t="inlineStr">
        <is>
          <t>SDRW2300001301</t>
        </is>
      </c>
      <c r="D35" s="3" t="inlineStr">
        <is>
          <t>SDRW2300001301.1</t>
        </is>
      </c>
      <c r="E35" s="3" t="inlineStr">
        <is>
          <t>SD2301434 | SD2301435 | SD2301436 | SD2301437</t>
        </is>
      </c>
      <c r="F35" s="3" t="inlineStr">
        <is>
          <t>4</t>
        </is>
      </c>
      <c r="G35" s="3" t="inlineStr">
        <is>
          <t>SD2301434 | SD2301435 | SD2301437</t>
        </is>
      </c>
      <c r="H35" s="3" t="inlineStr">
        <is>
          <t>3</t>
        </is>
      </c>
      <c r="I35" s="3" t="inlineStr">
        <is>
          <t>SDRW2300001301.1.1.176</t>
        </is>
      </c>
      <c r="J35" s="3" t="inlineStr">
        <is>
          <t>프로그램 뭐가 중요한지 알아보고 있습니다.</t>
        </is>
      </c>
      <c r="K35" s="3" t="inlineStr">
        <is>
          <t>프로그램 뭐가 중요한지 알아보고 있습니다. {laughing}</t>
        </is>
      </c>
      <c r="L35" s="3" t="inlineStr">
        <is>
          <t>프로그램 뭐가 중요한지 아라보고 읻씀니다</t>
        </is>
      </c>
      <c r="M35" s="3" t="inlineStr">
        <is>
          <t>프로그램 뭐가 중요한지 알아보고 있습니다.</t>
        </is>
      </c>
      <c r="N35" s="3" t="inlineStr">
        <is>
          <t>프로그램 뭐가 중요한지 아라보고 읻씀니다</t>
        </is>
      </c>
      <c r="O35" s="3" t="inlineStr">
        <is>
          <t>form_rule_prediction</t>
        </is>
      </c>
      <c r="P35" s="3" t="inlineStr">
        <is>
          <t>resolved_form</t>
        </is>
      </c>
      <c r="Q35" s="3" t="inlineStr">
        <is>
          <t>all_lexical_slots</t>
        </is>
      </c>
      <c r="R35" s="3" t="inlineStr">
        <is>
          <t>labeled_word_slots</t>
        </is>
      </c>
      <c r="S35" s="3" t="inlineStr"/>
      <c r="T35" s="3" t="inlineStr">
        <is>
          <t>2023\SDRW2300001301.1.1.176.wav</t>
        </is>
      </c>
      <c r="U35" s="3" t="inlineStr">
        <is>
          <t>2023\SDRW2300001301.1.1.176.lab</t>
        </is>
      </c>
      <c r="V35" s="3" t="inlineStr">
        <is>
          <t>2023\SDRW2300001301.1.1.176.TextGrid</t>
        </is>
      </c>
      <c r="W35" s="3" t="inlineStr">
        <is>
          <t>2023\SDRW2300001301.1.1.176.csv</t>
        </is>
      </c>
      <c r="X35" s="3" t="inlineStr"/>
      <c r="Y35" s="3" t="inlineStr"/>
    </row>
    <row r="36">
      <c r="A36" s="3" t="inlineStr">
        <is>
          <t>2023</t>
        </is>
      </c>
      <c r="B36" s="3" t="inlineStr">
        <is>
          <t>SD2301983</t>
        </is>
      </c>
      <c r="C36" s="3" t="inlineStr">
        <is>
          <t>SDRW2300001859</t>
        </is>
      </c>
      <c r="D36" s="3" t="inlineStr">
        <is>
          <t>SDRW2300001859.1</t>
        </is>
      </c>
      <c r="E36" s="3" t="inlineStr">
        <is>
          <t>SD2301982 | SD2301983</t>
        </is>
      </c>
      <c r="F36" s="3" t="inlineStr">
        <is>
          <t>2</t>
        </is>
      </c>
      <c r="G36" s="3" t="inlineStr">
        <is>
          <t>SD2301982</t>
        </is>
      </c>
      <c r="H36" s="3" t="inlineStr">
        <is>
          <t>1</t>
        </is>
      </c>
      <c r="I36" s="3" t="inlineStr">
        <is>
          <t>SDRW2300001859.1.1.109</t>
        </is>
      </c>
      <c r="J36" s="3" t="inlineStr">
        <is>
          <t>어떻게 두시고 투자를 하시는 타입이신가요?</t>
        </is>
      </c>
      <c r="K36" s="3" t="inlineStr">
        <is>
          <t>어떻게 두시고 투자를 하시는 타입이신가요?</t>
        </is>
      </c>
      <c r="L36" s="3" t="inlineStr">
        <is>
          <t>어떠케 두시고 투자를 하시는 타이비신가요</t>
        </is>
      </c>
      <c r="M36" s="3" t="inlineStr">
        <is>
          <t>어떻게 두시고 투자를 하시는 타입이신가요?</t>
        </is>
      </c>
      <c r="N36" s="3" t="inlineStr">
        <is>
          <t>어떠케 두시고 투자를 하시는 타이비신가요</t>
        </is>
      </c>
      <c r="O36" s="3" t="inlineStr">
        <is>
          <t>form_rule_prediction</t>
        </is>
      </c>
      <c r="P36" s="3" t="inlineStr">
        <is>
          <t>resolved_form</t>
        </is>
      </c>
      <c r="Q36" s="3" t="inlineStr">
        <is>
          <t>labeled_word_slots</t>
        </is>
      </c>
      <c r="R36" s="3" t="inlineStr">
        <is>
          <t>labeled_word_slots</t>
        </is>
      </c>
      <c r="S36" s="3" t="inlineStr"/>
      <c r="T36" s="3" t="inlineStr">
        <is>
          <t>2023\SDRW2300001859.1.1.109.wav</t>
        </is>
      </c>
      <c r="U36" s="3" t="inlineStr">
        <is>
          <t>2023\SDRW2300001859.1.1.109.lab</t>
        </is>
      </c>
      <c r="V36" s="3" t="inlineStr">
        <is>
          <t>2023\SDRW2300001859.1.1.109.TextGrid</t>
        </is>
      </c>
      <c r="W36" s="3" t="inlineStr">
        <is>
          <t>2023\SDRW2300001859.1.1.109.csv</t>
        </is>
      </c>
      <c r="X36" s="3" t="inlineStr"/>
      <c r="Y36" s="3" t="inlineStr"/>
    </row>
    <row r="37">
      <c r="A37" s="3" t="inlineStr">
        <is>
          <t>2023</t>
        </is>
      </c>
      <c r="B37" s="3" t="inlineStr">
        <is>
          <t>SD2301983</t>
        </is>
      </c>
      <c r="C37" s="3" t="inlineStr">
        <is>
          <t>SDRW2300001859</t>
        </is>
      </c>
      <c r="D37" s="3" t="inlineStr">
        <is>
          <t>SDRW2300001859.1</t>
        </is>
      </c>
      <c r="E37" s="3" t="inlineStr">
        <is>
          <t>SD2301982 | SD2301983</t>
        </is>
      </c>
      <c r="F37" s="3" t="inlineStr">
        <is>
          <t>2</t>
        </is>
      </c>
      <c r="G37" s="3" t="inlineStr">
        <is>
          <t>SD2301982</t>
        </is>
      </c>
      <c r="H37" s="3" t="inlineStr">
        <is>
          <t>1</t>
        </is>
      </c>
      <c r="I37" s="3" t="inlineStr">
        <is>
          <t>SDRW2300001859.1.1.108</t>
        </is>
      </c>
      <c r="J37" s="3" t="inlineStr">
        <is>
          <t>장기 단기 이런 기간을</t>
        </is>
      </c>
      <c r="K37" s="3" t="inlineStr">
        <is>
          <t>장기 단기 이런 {laughing} 기간을</t>
        </is>
      </c>
      <c r="L37" s="3" t="inlineStr">
        <is>
          <t>장기 단기 이런 기가늘</t>
        </is>
      </c>
      <c r="M37" s="3" t="inlineStr">
        <is>
          <t>장기 단기 이런 기간을</t>
        </is>
      </c>
      <c r="N37" s="3" t="inlineStr">
        <is>
          <t>장기 단기 이런 기가늘</t>
        </is>
      </c>
      <c r="O37" s="3" t="inlineStr">
        <is>
          <t>form_rule_prediction</t>
        </is>
      </c>
      <c r="P37" s="3" t="inlineStr">
        <is>
          <t>resolved_form</t>
        </is>
      </c>
      <c r="Q37" s="3" t="inlineStr">
        <is>
          <t>utterance_fallback</t>
        </is>
      </c>
      <c r="R37" s="3" t="inlineStr">
        <is>
          <t>labeled_word_slots</t>
        </is>
      </c>
      <c r="S37" s="3" t="inlineStr">
        <is>
          <t>original_form: tokens=5, lexical_slots=7, labeled_slots=4</t>
        </is>
      </c>
      <c r="T37" s="3" t="inlineStr">
        <is>
          <t>2023\SDRW2300001859.1.1.108.wav</t>
        </is>
      </c>
      <c r="U37" s="3" t="inlineStr">
        <is>
          <t>2023\SDRW2300001859.1.1.108.lab</t>
        </is>
      </c>
      <c r="V37" s="3" t="inlineStr">
        <is>
          <t>2023\SDRW2300001859.1.1.108.TextGrid</t>
        </is>
      </c>
      <c r="W37" s="3" t="inlineStr">
        <is>
          <t>2023\SDRW2300001859.1.1.108.csv</t>
        </is>
      </c>
      <c r="X37" s="3" t="inlineStr"/>
      <c r="Y37" s="3" t="inlineStr"/>
    </row>
    <row r="38">
      <c r="A38" s="3" t="inlineStr">
        <is>
          <t>2023</t>
        </is>
      </c>
      <c r="B38" s="3" t="inlineStr">
        <is>
          <t>SD2302149</t>
        </is>
      </c>
      <c r="C38" s="3" t="inlineStr">
        <is>
          <t>SDRW2300001955</t>
        </is>
      </c>
      <c r="D38" s="3" t="inlineStr">
        <is>
          <t>SDRW2300001955.1</t>
        </is>
      </c>
      <c r="E38" s="3" t="inlineStr">
        <is>
          <t>SD2302148 | SD2302149</t>
        </is>
      </c>
      <c r="F38" s="3" t="inlineStr">
        <is>
          <t>2</t>
        </is>
      </c>
      <c r="G38" s="3" t="inlineStr">
        <is>
          <t>SD2302148</t>
        </is>
      </c>
      <c r="H38" s="3" t="inlineStr">
        <is>
          <t>1</t>
        </is>
      </c>
      <c r="I38" s="3" t="inlineStr">
        <is>
          <t>SDRW2300001955.1.1.164</t>
        </is>
      </c>
      <c r="J38" s="3" t="inlineStr">
        <is>
          <t>어 접근하려고 좀 노력을 하고 있습니다.</t>
        </is>
      </c>
      <c r="K38" s="3" t="inlineStr">
        <is>
          <t>어~ 접근할려고 쫌 노력을 하고 있습니다.</t>
        </is>
      </c>
      <c r="L38" s="3" t="inlineStr">
        <is>
          <t>어 접끈하려고 좀 노려글 하고 읻씀니다</t>
        </is>
      </c>
      <c r="M38" s="3" t="inlineStr">
        <is>
          <t>어 접근하려고 좀 노력을 하고 있습니다.</t>
        </is>
      </c>
      <c r="N38" s="3" t="inlineStr">
        <is>
          <t>어 접끈하려고 좀 노려글 하고 읻씀니다</t>
        </is>
      </c>
      <c r="O38" s="3" t="inlineStr">
        <is>
          <t>form_rule_prediction</t>
        </is>
      </c>
      <c r="P38" s="3" t="inlineStr">
        <is>
          <t>resolved_form</t>
        </is>
      </c>
      <c r="Q38" s="3" t="inlineStr">
        <is>
          <t>labeled_word_slots</t>
        </is>
      </c>
      <c r="R38" s="3" t="inlineStr">
        <is>
          <t>labeled_word_slots</t>
        </is>
      </c>
      <c r="S38" s="3" t="inlineStr"/>
      <c r="T38" s="3" t="inlineStr">
        <is>
          <t>2023\SDRW2300001955.1.1.164.wav</t>
        </is>
      </c>
      <c r="U38" s="3" t="inlineStr">
        <is>
          <t>2023\SDRW2300001955.1.1.164.lab</t>
        </is>
      </c>
      <c r="V38" s="3" t="inlineStr">
        <is>
          <t>2023\SDRW2300001955.1.1.164.TextGrid</t>
        </is>
      </c>
      <c r="W38" s="3" t="inlineStr">
        <is>
          <t>2023\SDRW2300001955.1.1.164.csv</t>
        </is>
      </c>
      <c r="X38" s="3" t="inlineStr"/>
      <c r="Y38" s="3" t="inlineStr"/>
    </row>
    <row r="39">
      <c r="A39" s="3" t="inlineStr">
        <is>
          <t>2023</t>
        </is>
      </c>
      <c r="B39" s="3" t="inlineStr">
        <is>
          <t>SD2302149</t>
        </is>
      </c>
      <c r="C39" s="3" t="inlineStr">
        <is>
          <t>SDRW2300001955</t>
        </is>
      </c>
      <c r="D39" s="3" t="inlineStr">
        <is>
          <t>SDRW2300001955.1</t>
        </is>
      </c>
      <c r="E39" s="3" t="inlineStr">
        <is>
          <t>SD2302148 | SD2302149</t>
        </is>
      </c>
      <c r="F39" s="3" t="inlineStr">
        <is>
          <t>2</t>
        </is>
      </c>
      <c r="G39" s="3" t="inlineStr">
        <is>
          <t>SD2302148</t>
        </is>
      </c>
      <c r="H39" s="3" t="inlineStr">
        <is>
          <t>1</t>
        </is>
      </c>
      <c r="I39" s="3" t="inlineStr">
        <is>
          <t>SDRW2300001955.1.1.11</t>
        </is>
      </c>
      <c r="J39" s="3" t="inlineStr">
        <is>
          <t>어 월세 전세 이런 뭐 매물들을 다루다 보니까</t>
        </is>
      </c>
      <c r="K39" s="3" t="inlineStr">
        <is>
          <t>어~ 월세 전세 이런 뭐~ 매물들을 다루다 보니까</t>
        </is>
      </c>
      <c r="L39" s="3" t="inlineStr">
        <is>
          <t>어 월세 전세 이런 뭐 매물드를 다루다 보니까</t>
        </is>
      </c>
      <c r="M39" s="3" t="inlineStr">
        <is>
          <t>어 월세 전세 이런 뭐 매물들을 다루다 보니까</t>
        </is>
      </c>
      <c r="N39" s="3" t="inlineStr">
        <is>
          <t>어 월세 전세 이런 뭐 매물드를 다루다 보니까</t>
        </is>
      </c>
      <c r="O39" s="3" t="inlineStr">
        <is>
          <t>form_rule_prediction</t>
        </is>
      </c>
      <c r="P39" s="3" t="inlineStr">
        <is>
          <t>resolved_form</t>
        </is>
      </c>
      <c r="Q39" s="3" t="inlineStr">
        <is>
          <t>labeled_word_slots</t>
        </is>
      </c>
      <c r="R39" s="3" t="inlineStr">
        <is>
          <t>labeled_word_slots</t>
        </is>
      </c>
      <c r="S39" s="3" t="inlineStr"/>
      <c r="T39" s="3" t="inlineStr">
        <is>
          <t>2023\SDRW2300001955.1.1.11.wav</t>
        </is>
      </c>
      <c r="U39" s="3" t="inlineStr">
        <is>
          <t>2023\SDRW2300001955.1.1.11.lab</t>
        </is>
      </c>
      <c r="V39" s="3" t="inlineStr">
        <is>
          <t>2023\SDRW2300001955.1.1.11.TextGrid</t>
        </is>
      </c>
      <c r="W39" s="3" t="inlineStr">
        <is>
          <t>2023\SDRW2300001955.1.1.11.csv</t>
        </is>
      </c>
      <c r="X39" s="3" t="inlineStr"/>
      <c r="Y39" s="3" t="inlineStr"/>
    </row>
    <row r="40">
      <c r="A40" s="3" t="inlineStr">
        <is>
          <t>2023</t>
        </is>
      </c>
      <c r="B40" s="3" t="inlineStr">
        <is>
          <t>SD2310934</t>
        </is>
      </c>
      <c r="C40" s="3" t="inlineStr">
        <is>
          <t>SDRW2300000891</t>
        </is>
      </c>
      <c r="D40" s="3" t="inlineStr">
        <is>
          <t>SDRW2300000891.1</t>
        </is>
      </c>
      <c r="E40" s="3" t="inlineStr">
        <is>
          <t>SD2300935 | SD2310934</t>
        </is>
      </c>
      <c r="F40" s="3" t="inlineStr">
        <is>
          <t>2</t>
        </is>
      </c>
      <c r="G40" s="3" t="inlineStr">
        <is>
          <t>SD2300935</t>
        </is>
      </c>
      <c r="H40" s="3" t="inlineStr">
        <is>
          <t>1</t>
        </is>
      </c>
      <c r="I40" s="3" t="inlineStr">
        <is>
          <t>SDRW2300000891.1.1.331</t>
        </is>
      </c>
      <c r="J40" s="3" t="inlineStr">
        <is>
          <t>무조건 1층으로 된 집에서 살고 싶어.</t>
        </is>
      </c>
      <c r="K40" s="3" t="inlineStr">
        <is>
          <t>무조건 일 층으로 된 집에서 살고 싶어.</t>
        </is>
      </c>
      <c r="L40" s="3" t="inlineStr">
        <is>
          <t>무조건 ∅ 된 지베서 살고 시퍼</t>
        </is>
      </c>
      <c r="M40" s="3" t="inlineStr">
        <is>
          <t>무조건 일 층으로 된 집에서 살고 싶어.</t>
        </is>
      </c>
      <c r="N40" s="3" t="inlineStr">
        <is>
          <t>무조건 일 층으로 된 지베서 살고 시퍼</t>
        </is>
      </c>
      <c r="O40" s="3" t="inlineStr">
        <is>
          <t>original_form_placeholder_resolution</t>
        </is>
      </c>
      <c r="P40" s="3" t="inlineStr">
        <is>
          <t>resolved_original_form</t>
        </is>
      </c>
      <c r="Q40" s="3" t="inlineStr">
        <is>
          <t>all_lexical_slots</t>
        </is>
      </c>
      <c r="R40" s="3" t="inlineStr">
        <is>
          <t>all_lexical_slots</t>
        </is>
      </c>
      <c r="S40" s="3" t="inlineStr"/>
      <c r="T40" s="3" t="inlineStr">
        <is>
          <t>2023\SDRW2300000891.1.1.331.wav</t>
        </is>
      </c>
      <c r="U40" s="3" t="inlineStr">
        <is>
          <t>2023\SDRW2300000891.1.1.331.lab</t>
        </is>
      </c>
      <c r="V40" s="3" t="inlineStr">
        <is>
          <t>2023\SDRW2300000891.1.1.331.TextGrid</t>
        </is>
      </c>
      <c r="W40" s="3" t="inlineStr">
        <is>
          <t>2023\SDRW2300000891.1.1.331.csv</t>
        </is>
      </c>
      <c r="X40" s="3" t="inlineStr"/>
      <c r="Y40" s="3" t="inlineStr"/>
    </row>
    <row r="41">
      <c r="A41" s="3" t="inlineStr">
        <is>
          <t>2023</t>
        </is>
      </c>
      <c r="B41" s="3" t="inlineStr">
        <is>
          <t>SD2310934</t>
        </is>
      </c>
      <c r="C41" s="3" t="inlineStr">
        <is>
          <t>SDRW2300000891</t>
        </is>
      </c>
      <c r="D41" s="3" t="inlineStr">
        <is>
          <t>SDRW2300000891.1</t>
        </is>
      </c>
      <c r="E41" s="3" t="inlineStr">
        <is>
          <t>SD2300935 | SD2310934</t>
        </is>
      </c>
      <c r="F41" s="3" t="inlineStr">
        <is>
          <t>2</t>
        </is>
      </c>
      <c r="G41" s="3" t="inlineStr">
        <is>
          <t>SD2300935</t>
        </is>
      </c>
      <c r="H41" s="3" t="inlineStr">
        <is>
          <t>1</t>
        </is>
      </c>
      <c r="I41" s="3" t="inlineStr">
        <is>
          <t>SDRW2300000891.1.1.229</t>
        </is>
      </c>
      <c r="J41" s="3" t="inlineStr">
        <is>
          <t>가지고 싶은 소품이나 아니면 이런 걸 놓을 공간이 있으면 좋겠다.</t>
        </is>
      </c>
      <c r="K41" s="3" t="inlineStr">
        <is>
          <t>가지고 싶은 소품이나 아니면 이런 걸 놓을 공간이 있으면 좋겠다.</t>
        </is>
      </c>
      <c r="L41" s="3" t="inlineStr">
        <is>
          <t>가지고 시픈 소푸미나 아니면 이런 걸 노을 공가니 이쓰면 조켇따</t>
        </is>
      </c>
      <c r="M41" s="3" t="inlineStr">
        <is>
          <t>가지고 싶은 소품이나 아니면 이런 걸 놓을 공간이 있으면 좋겠다.</t>
        </is>
      </c>
      <c r="N41" s="3" t="inlineStr">
        <is>
          <t>가지고 시픈 소푸미나 아니면 이런 걸 노을 공가니 이쓰면 조켇따</t>
        </is>
      </c>
      <c r="O41" s="3" t="inlineStr">
        <is>
          <t>form_rule_prediction</t>
        </is>
      </c>
      <c r="P41" s="3" t="inlineStr">
        <is>
          <t>resolved_form</t>
        </is>
      </c>
      <c r="Q41" s="3" t="inlineStr">
        <is>
          <t>labeled_word_slots</t>
        </is>
      </c>
      <c r="R41" s="3" t="inlineStr">
        <is>
          <t>labeled_word_slots</t>
        </is>
      </c>
      <c r="S41" s="3" t="inlineStr"/>
      <c r="T41" s="3" t="inlineStr">
        <is>
          <t>2023\SDRW2300000891.1.1.229.wav</t>
        </is>
      </c>
      <c r="U41" s="3" t="inlineStr">
        <is>
          <t>2023\SDRW2300000891.1.1.229.lab</t>
        </is>
      </c>
      <c r="V41" s="3" t="inlineStr">
        <is>
          <t>2023\SDRW2300000891.1.1.229.TextGrid</t>
        </is>
      </c>
      <c r="W41" s="3" t="inlineStr">
        <is>
          <t>2023\SDRW2300000891.1.1.229.csv</t>
        </is>
      </c>
      <c r="X41" s="3" t="inlineStr"/>
      <c r="Y41" s="3" t="inlineStr"/>
    </row>
    <row r="42">
      <c r="A42" s="3" t="inlineStr">
        <is>
          <t>2024</t>
        </is>
      </c>
      <c r="B42" s="3" t="inlineStr">
        <is>
          <t>SD2400795</t>
        </is>
      </c>
      <c r="C42" s="3" t="inlineStr">
        <is>
          <t>SDRW2400001098</t>
        </is>
      </c>
      <c r="D42" s="3" t="inlineStr">
        <is>
          <t>SDRW2400001098.1</t>
        </is>
      </c>
      <c r="E42" s="3" t="inlineStr">
        <is>
          <t>SD2400795 | SD2400796</t>
        </is>
      </c>
      <c r="F42" s="3" t="inlineStr">
        <is>
          <t>2</t>
        </is>
      </c>
      <c r="G42" s="3" t="inlineStr">
        <is>
          <t>SD2400796</t>
        </is>
      </c>
      <c r="H42" s="3" t="inlineStr">
        <is>
          <t>1</t>
        </is>
      </c>
      <c r="I42" s="3" t="inlineStr">
        <is>
          <t>SDRW2400001098.1.1.64</t>
        </is>
      </c>
      <c r="J42" s="3" t="inlineStr">
        <is>
          <t>그 요즘 택배 중에 그렇게 어</t>
        </is>
      </c>
      <c r="K42" s="3" t="inlineStr">
        <is>
          <t>그 요즘 택배 중에 그릏게 어~</t>
        </is>
      </c>
      <c r="L42" s="3" t="inlineStr">
        <is>
          <t>그 요즘 택빼 중에 그러케 어</t>
        </is>
      </c>
      <c r="M42" s="3" t="inlineStr">
        <is>
          <t>그 요즘 택배 중에 그렇게 어</t>
        </is>
      </c>
      <c r="N42" s="3" t="inlineStr">
        <is>
          <t>그 요즘 택빼 중에 그러케 어</t>
        </is>
      </c>
      <c r="O42" s="3" t="inlineStr">
        <is>
          <t>form_rule_prediction</t>
        </is>
      </c>
      <c r="P42" s="3" t="inlineStr">
        <is>
          <t>resolved_form</t>
        </is>
      </c>
      <c r="Q42" s="3" t="inlineStr">
        <is>
          <t>labeled_word_slots</t>
        </is>
      </c>
      <c r="R42" s="3" t="inlineStr">
        <is>
          <t>labeled_word_slots</t>
        </is>
      </c>
      <c r="S42" s="3" t="inlineStr"/>
      <c r="T42" s="3" t="inlineStr">
        <is>
          <t>2024\SDRW2400001098.1.1.64.wav</t>
        </is>
      </c>
      <c r="U42" s="3" t="inlineStr">
        <is>
          <t>2024\SDRW2400001098.1.1.64.lab</t>
        </is>
      </c>
      <c r="V42" s="3" t="inlineStr">
        <is>
          <t>2024\SDRW2400001098.1.1.64.TextGrid</t>
        </is>
      </c>
      <c r="W42" s="3" t="inlineStr">
        <is>
          <t>2024\SDRW2400001098.1.1.64.csv</t>
        </is>
      </c>
      <c r="X42" s="3" t="inlineStr"/>
      <c r="Y42" s="3" t="inlineStr"/>
    </row>
    <row r="43">
      <c r="A43" s="3" t="inlineStr">
        <is>
          <t>2024</t>
        </is>
      </c>
      <c r="B43" s="3" t="inlineStr">
        <is>
          <t>SD2400795</t>
        </is>
      </c>
      <c r="C43" s="3" t="inlineStr">
        <is>
          <t>SDRW2400001098</t>
        </is>
      </c>
      <c r="D43" s="3" t="inlineStr">
        <is>
          <t>SDRW2400001098.1</t>
        </is>
      </c>
      <c r="E43" s="3" t="inlineStr">
        <is>
          <t>SD2400795 | SD2400796</t>
        </is>
      </c>
      <c r="F43" s="3" t="inlineStr">
        <is>
          <t>2</t>
        </is>
      </c>
      <c r="G43" s="3" t="inlineStr">
        <is>
          <t>SD2400796</t>
        </is>
      </c>
      <c r="H43" s="3" t="inlineStr">
        <is>
          <t>1</t>
        </is>
      </c>
      <c r="I43" s="3" t="inlineStr">
        <is>
          <t>SDRW2400001098.1.1.92</t>
        </is>
      </c>
      <c r="J43" s="3" t="inlineStr">
        <is>
          <t>어 그게 이제 어도비에서 제공하는 모든 프로그램을 이용할 수 있는 이제</t>
        </is>
      </c>
      <c r="K43" s="3" t="inlineStr">
        <is>
          <t>어 그게 이제 어도비에서 제공하는 모든 프로그램을 이용할 수 있는 이제</t>
        </is>
      </c>
      <c r="L43" s="3" t="inlineStr">
        <is>
          <t>어 그게 이제 어도비에서 제공하는 모든 프로그래믈 이용할 수 인는 이제</t>
        </is>
      </c>
      <c r="M43" s="3" t="inlineStr">
        <is>
          <t>어 그게 이제 어도비에서 제공하는 모든 프로그램을 이용할 수 있는 이제</t>
        </is>
      </c>
      <c r="N43" s="3" t="inlineStr">
        <is>
          <t>어 그게 이제 어도비에서 제공하는 모든 프로그래믈 이용할 수 인는 이제</t>
        </is>
      </c>
      <c r="O43" s="3" t="inlineStr">
        <is>
          <t>form_rule_prediction</t>
        </is>
      </c>
      <c r="P43" s="3" t="inlineStr">
        <is>
          <t>resolved_form</t>
        </is>
      </c>
      <c r="Q43" s="3" t="inlineStr">
        <is>
          <t>labeled_word_slots</t>
        </is>
      </c>
      <c r="R43" s="3" t="inlineStr">
        <is>
          <t>labeled_word_slots</t>
        </is>
      </c>
      <c r="S43" s="3" t="inlineStr"/>
      <c r="T43" s="3" t="inlineStr">
        <is>
          <t>2024\SDRW2400001098.1.1.92.wav</t>
        </is>
      </c>
      <c r="U43" s="3" t="inlineStr">
        <is>
          <t>2024\SDRW2400001098.1.1.92.lab</t>
        </is>
      </c>
      <c r="V43" s="3" t="inlineStr">
        <is>
          <t>2024\SDRW2400001098.1.1.92.TextGrid</t>
        </is>
      </c>
      <c r="W43" s="3" t="inlineStr">
        <is>
          <t>2024\SDRW2400001098.1.1.92.csv</t>
        </is>
      </c>
      <c r="X43" s="3" t="inlineStr"/>
      <c r="Y43" s="3" t="inlineStr"/>
    </row>
    <row r="44">
      <c r="A44" s="3" t="inlineStr">
        <is>
          <t>2024</t>
        </is>
      </c>
      <c r="B44" s="3" t="inlineStr">
        <is>
          <t>SD2400841</t>
        </is>
      </c>
      <c r="C44" s="3" t="inlineStr">
        <is>
          <t>SDRW2400000324</t>
        </is>
      </c>
      <c r="D44" s="3" t="inlineStr">
        <is>
          <t>SDRW2400000324.1</t>
        </is>
      </c>
      <c r="E44" s="3" t="inlineStr">
        <is>
          <t>SD2400839 | SD2400840 | SD2400841</t>
        </is>
      </c>
      <c r="F44" s="3" t="inlineStr">
        <is>
          <t>3</t>
        </is>
      </c>
      <c r="G44" s="3" t="inlineStr">
        <is>
          <t>SD2400839 | SD2400840</t>
        </is>
      </c>
      <c r="H44" s="3" t="inlineStr">
        <is>
          <t>2</t>
        </is>
      </c>
      <c r="I44" s="3" t="inlineStr">
        <is>
          <t>SDRW2400000324.1.1.170</t>
        </is>
      </c>
      <c r="J44" s="3" t="inlineStr">
        <is>
          <t>나는 약간 그 스카이 캐슬의 내용 중에서 이제 어떤 한 아이 아이들의 어머니가 아버지에게 이제 큰 음 약간 가정 폭력 비슷한 거를 이제 당하는 장면에서</t>
        </is>
      </c>
      <c r="K44" s="3" t="inlineStr">
        <is>
          <t>나는 약간 그~ 스카이 캐쓸에 내용 중에서 이제 어떤 한 -아이- 아이들에 어머니가 아버지에게 이제 큰 음~ 약간 가정 폭력 비슷한 거를 이제 당하는 장면에서</t>
        </is>
      </c>
      <c r="L44" s="3" t="inlineStr">
        <is>
          <t>나는 약깐 그 스카이 캐스릐 내용 중에서 이제 어떤 한 아이 아이드릐 어머니가 아버지에게 이제 큰 음 약깐 가정 폭력 비스탄 거를 이제 당하는 장며네서</t>
        </is>
      </c>
      <c r="M44" s="3" t="inlineStr">
        <is>
          <t>나는 약간 그 스카이 캐슬의 내용 중에서 이제 어떤 한 아이 아이들의 어머니가 아버지에게 이제 큰 음 약간 가정 폭력 비슷한 거를 이제 당하는 장면에서</t>
        </is>
      </c>
      <c r="N44" s="3" t="inlineStr">
        <is>
          <t>나는 약깐 그 스카이 캐스릐 내용 중에서 이제 어떤 한 아이 아이드릐 어머니가 아버지에게 이제 큰 음 약깐 가정 폭력 비스탄 거를 이제 당하는 장며네서</t>
        </is>
      </c>
      <c r="O44" s="3" t="inlineStr">
        <is>
          <t>form_rule_prediction</t>
        </is>
      </c>
      <c r="P44" s="3" t="inlineStr">
        <is>
          <t>resolved_form</t>
        </is>
      </c>
      <c r="Q44" s="3" t="inlineStr">
        <is>
          <t>labeled_word_slots</t>
        </is>
      </c>
      <c r="R44" s="3" t="inlineStr">
        <is>
          <t>labeled_word_slots</t>
        </is>
      </c>
      <c r="S44" s="3" t="inlineStr"/>
      <c r="T44" s="3" t="inlineStr">
        <is>
          <t>2024\SDRW2400000324.1.1.170.wav</t>
        </is>
      </c>
      <c r="U44" s="3" t="inlineStr">
        <is>
          <t>2024\SDRW2400000324.1.1.170.lab</t>
        </is>
      </c>
      <c r="V44" s="3" t="inlineStr">
        <is>
          <t>2024\SDRW2400000324.1.1.170.TextGrid</t>
        </is>
      </c>
      <c r="W44" s="3" t="inlineStr">
        <is>
          <t>2024\SDRW2400000324.1.1.170.csv</t>
        </is>
      </c>
      <c r="X44" s="3" t="inlineStr"/>
      <c r="Y44" s="3" t="inlineStr"/>
    </row>
    <row r="45">
      <c r="A45" s="3" t="inlineStr">
        <is>
          <t>2024</t>
        </is>
      </c>
      <c r="B45" s="3" t="inlineStr">
        <is>
          <t>SD2400841</t>
        </is>
      </c>
      <c r="C45" s="3" t="inlineStr">
        <is>
          <t>SDRW2400000324</t>
        </is>
      </c>
      <c r="D45" s="3" t="inlineStr">
        <is>
          <t>SDRW2400000324.1</t>
        </is>
      </c>
      <c r="E45" s="3" t="inlineStr">
        <is>
          <t>SD2400839 | SD2400840 | SD2400841</t>
        </is>
      </c>
      <c r="F45" s="3" t="inlineStr">
        <is>
          <t>3</t>
        </is>
      </c>
      <c r="G45" s="3" t="inlineStr">
        <is>
          <t>SD2400839 | SD2400840</t>
        </is>
      </c>
      <c r="H45" s="3" t="inlineStr">
        <is>
          <t>2</t>
        </is>
      </c>
      <c r="I45" s="3" t="inlineStr">
        <is>
          <t>SDRW2400000324.1.1.30</t>
        </is>
      </c>
      <c r="J45" s="3" t="inlineStr">
        <is>
          <t>그것도 해리 포터 작가와 같은 롤랭 롤랭 조인 뭐 이름은 잘 모르겠지만</t>
        </is>
      </c>
      <c r="K45" s="3" t="inlineStr">
        <is>
          <t>그것도 해리 포터 작가와 같은 롤랭 롤랭 조인 뭐~ 이름은 잘 모르겠지만</t>
        </is>
      </c>
      <c r="L45" s="3" t="inlineStr">
        <is>
          <t>그걷또 해리 포터 작까와 가튼 롤랭 롤랭 조인 뭐 이르믄 잘 모르겓찌만</t>
        </is>
      </c>
      <c r="M45" s="3" t="inlineStr">
        <is>
          <t>그것도 해리 포터 작가와 같은 롤랭 롤랭 조인 뭐 이름은 잘 모르겠지만</t>
        </is>
      </c>
      <c r="N45" s="3" t="inlineStr">
        <is>
          <t>그걷또 해리 포터 작까와 가튼 롤랭 롤랭 조인 뭐 이르믄 잘 모르겓찌만</t>
        </is>
      </c>
      <c r="O45" s="3" t="inlineStr">
        <is>
          <t>form_rule_prediction</t>
        </is>
      </c>
      <c r="P45" s="3" t="inlineStr">
        <is>
          <t>resolved_form</t>
        </is>
      </c>
      <c r="Q45" s="3" t="inlineStr">
        <is>
          <t>labeled_word_slots</t>
        </is>
      </c>
      <c r="R45" s="3" t="inlineStr">
        <is>
          <t>labeled_word_slots</t>
        </is>
      </c>
      <c r="S45" s="3" t="inlineStr"/>
      <c r="T45" s="3" t="inlineStr">
        <is>
          <t>2024\SDRW2400000324.1.1.30.wav</t>
        </is>
      </c>
      <c r="U45" s="3" t="inlineStr">
        <is>
          <t>2024\SDRW2400000324.1.1.30.lab</t>
        </is>
      </c>
      <c r="V45" s="3" t="inlineStr">
        <is>
          <t>2024\SDRW2400000324.1.1.30.TextGrid</t>
        </is>
      </c>
      <c r="W45" s="3" t="inlineStr">
        <is>
          <t>2024\SDRW2400000324.1.1.30.csv</t>
        </is>
      </c>
      <c r="X45" s="3" t="inlineStr"/>
      <c r="Y45" s="3" t="inlineStr"/>
    </row>
    <row r="46">
      <c r="A46" s="3" t="inlineStr">
        <is>
          <t>2024</t>
        </is>
      </c>
      <c r="B46" s="3" t="inlineStr">
        <is>
          <t>SD2401102</t>
        </is>
      </c>
      <c r="C46" s="3" t="inlineStr">
        <is>
          <t>SDRW2400001368</t>
        </is>
      </c>
      <c r="D46" s="3" t="inlineStr">
        <is>
          <t>SDRW2400001368.1</t>
        </is>
      </c>
      <c r="E46" s="3" t="inlineStr">
        <is>
          <t>SD2401101 | SD2401102</t>
        </is>
      </c>
      <c r="F46" s="3" t="inlineStr">
        <is>
          <t>2</t>
        </is>
      </c>
      <c r="G46" s="3" t="inlineStr">
        <is>
          <t>SD2401101</t>
        </is>
      </c>
      <c r="H46" s="3" t="inlineStr">
        <is>
          <t>1</t>
        </is>
      </c>
      <c r="I46" s="3" t="inlineStr">
        <is>
          <t>SDRW2400001368.1.1.121</t>
        </is>
      </c>
      <c r="J46" s="3" t="inlineStr">
        <is>
          <t>홈 쇼핑에서 사는 게 어려워지는 것 같아.</t>
        </is>
      </c>
      <c r="K46" s="3" t="inlineStr">
        <is>
          <t>홈 쑈핑에서 사는 게 어려워지는 거 같애.</t>
        </is>
      </c>
      <c r="L46" s="3" t="inlineStr">
        <is>
          <t>홈 쇼핑에서 사는 게 어려워지는 걷 가타</t>
        </is>
      </c>
      <c r="M46" s="3" t="inlineStr">
        <is>
          <t>홈 쇼핑에서 사는 게 어려워지는 것 같아.</t>
        </is>
      </c>
      <c r="N46" s="3" t="inlineStr">
        <is>
          <t>홈 쇼핑에서 사는 게 어려워지는 걷 가타</t>
        </is>
      </c>
      <c r="O46" s="3" t="inlineStr">
        <is>
          <t>form_rule_prediction</t>
        </is>
      </c>
      <c r="P46" s="3" t="inlineStr">
        <is>
          <t>resolved_form</t>
        </is>
      </c>
      <c r="Q46" s="3" t="inlineStr">
        <is>
          <t>all_lexical_slots</t>
        </is>
      </c>
      <c r="R46" s="3" t="inlineStr">
        <is>
          <t>all_lexical_slots</t>
        </is>
      </c>
      <c r="S46" s="3" t="inlineStr"/>
      <c r="T46" s="3" t="inlineStr">
        <is>
          <t>2024\SDRW2400001368.1.1.121.wav</t>
        </is>
      </c>
      <c r="U46" s="3" t="inlineStr">
        <is>
          <t>2024\SDRW2400001368.1.1.121.lab</t>
        </is>
      </c>
      <c r="V46" s="3" t="inlineStr">
        <is>
          <t>2024\SDRW2400001368.1.1.121.TextGrid</t>
        </is>
      </c>
      <c r="W46" s="3" t="inlineStr">
        <is>
          <t>2024\SDRW2400001368.1.1.121.csv</t>
        </is>
      </c>
      <c r="X46" s="3" t="inlineStr"/>
      <c r="Y46" s="3" t="inlineStr"/>
    </row>
    <row r="47">
      <c r="A47" s="3" t="inlineStr">
        <is>
          <t>2024</t>
        </is>
      </c>
      <c r="B47" s="3" t="inlineStr">
        <is>
          <t>SD2401102</t>
        </is>
      </c>
      <c r="C47" s="3" t="inlineStr">
        <is>
          <t>SDRW2400001368</t>
        </is>
      </c>
      <c r="D47" s="3" t="inlineStr">
        <is>
          <t>SDRW2400001368.1</t>
        </is>
      </c>
      <c r="E47" s="3" t="inlineStr">
        <is>
          <t>SD2401101 | SD2401102</t>
        </is>
      </c>
      <c r="F47" s="3" t="inlineStr">
        <is>
          <t>2</t>
        </is>
      </c>
      <c r="G47" s="3" t="inlineStr">
        <is>
          <t>SD2401101</t>
        </is>
      </c>
      <c r="H47" s="3" t="inlineStr">
        <is>
          <t>1</t>
        </is>
      </c>
      <c r="I47" s="3" t="inlineStr">
        <is>
          <t>SDRW2400001368.1.1.105</t>
        </is>
      </c>
      <c r="J47" s="3" t="inlineStr">
        <is>
          <t>혜택적인 부분도 내가 엄마가 직접적으로 듣고 바로 구매할 수 있는</t>
        </is>
      </c>
      <c r="K47" s="3" t="inlineStr">
        <is>
          <t>혜택적인 부분두 내가 엄마가 직접적으로 듣고 바로 구매할 수 있는</t>
        </is>
      </c>
      <c r="L47" s="3" t="inlineStr">
        <is>
          <t>혜택쩌긴 부분도 내가 엄마가 직쩝쩌그로 듣꼬 바로 구매할 수 인는</t>
        </is>
      </c>
      <c r="M47" s="3" t="inlineStr">
        <is>
          <t>혜택적인 부분도 내가 엄마가 직접적으로 듣고 바로 구매할 수 있는</t>
        </is>
      </c>
      <c r="N47" s="3" t="inlineStr">
        <is>
          <t>혜택쩌긴 부분도 내가 엄마가 직쩝쩌그로 듣꼬 바로 구매할 수 인는</t>
        </is>
      </c>
      <c r="O47" s="3" t="inlineStr">
        <is>
          <t>form_rule_prediction</t>
        </is>
      </c>
      <c r="P47" s="3" t="inlineStr">
        <is>
          <t>resolved_form</t>
        </is>
      </c>
      <c r="Q47" s="3" t="inlineStr">
        <is>
          <t>labeled_word_slots</t>
        </is>
      </c>
      <c r="R47" s="3" t="inlineStr">
        <is>
          <t>labeled_word_slots</t>
        </is>
      </c>
      <c r="S47" s="3" t="inlineStr"/>
      <c r="T47" s="3" t="inlineStr">
        <is>
          <t>2024\SDRW2400001368.1.1.105.wav</t>
        </is>
      </c>
      <c r="U47" s="3" t="inlineStr">
        <is>
          <t>2024\SDRW2400001368.1.1.105.lab</t>
        </is>
      </c>
      <c r="V47" s="3" t="inlineStr">
        <is>
          <t>2024\SDRW2400001368.1.1.105.TextGrid</t>
        </is>
      </c>
      <c r="W47" s="3" t="inlineStr">
        <is>
          <t>2024\SDRW2400001368.1.1.105.csv</t>
        </is>
      </c>
      <c r="X47" s="3" t="inlineStr"/>
      <c r="Y47" s="3" t="inlineStr"/>
    </row>
    <row r="48">
      <c r="A48" s="3" t="inlineStr">
        <is>
          <t>2024</t>
        </is>
      </c>
      <c r="B48" s="3" t="inlineStr">
        <is>
          <t>SD2401137</t>
        </is>
      </c>
      <c r="C48" s="3" t="inlineStr">
        <is>
          <t>SDRW2400001439</t>
        </is>
      </c>
      <c r="D48" s="3" t="inlineStr">
        <is>
          <t>SDRW2400001439.1</t>
        </is>
      </c>
      <c r="E48" s="3" t="inlineStr">
        <is>
          <t>SD2401137 | SD2401138</t>
        </is>
      </c>
      <c r="F48" s="3" t="inlineStr">
        <is>
          <t>2</t>
        </is>
      </c>
      <c r="G48" s="3" t="inlineStr">
        <is>
          <t>SD2401138</t>
        </is>
      </c>
      <c r="H48" s="3" t="inlineStr">
        <is>
          <t>1</t>
        </is>
      </c>
      <c r="I48" s="3" t="inlineStr">
        <is>
          <t>SDRW2400001439.1.1.152</t>
        </is>
      </c>
      <c r="J48" s="3" t="inlineStr">
        <is>
          <t>어 그렇긴 해.</t>
        </is>
      </c>
      <c r="K48" s="3" t="inlineStr">
        <is>
          <t>어 그렇긴 해.</t>
        </is>
      </c>
      <c r="L48" s="3" t="inlineStr">
        <is>
          <t>어 그러킨 해</t>
        </is>
      </c>
      <c r="M48" s="3" t="inlineStr">
        <is>
          <t>어 그렇긴 해.</t>
        </is>
      </c>
      <c r="N48" s="3" t="inlineStr">
        <is>
          <t>어 그러킨 해</t>
        </is>
      </c>
      <c r="O48" s="3" t="inlineStr">
        <is>
          <t>form_rule_prediction</t>
        </is>
      </c>
      <c r="P48" s="3" t="inlineStr">
        <is>
          <t>resolved_form</t>
        </is>
      </c>
      <c r="Q48" s="3" t="inlineStr">
        <is>
          <t>all_lexical_slots</t>
        </is>
      </c>
      <c r="R48" s="3" t="inlineStr">
        <is>
          <t>all_lexical_slots</t>
        </is>
      </c>
      <c r="S48" s="3" t="inlineStr"/>
      <c r="T48" s="3" t="inlineStr">
        <is>
          <t>2024\SDRW2400001439.1.1.152.wav</t>
        </is>
      </c>
      <c r="U48" s="3" t="inlineStr">
        <is>
          <t>2024\SDRW2400001439.1.1.152.lab</t>
        </is>
      </c>
      <c r="V48" s="3" t="inlineStr">
        <is>
          <t>2024\SDRW2400001439.1.1.152.TextGrid</t>
        </is>
      </c>
      <c r="W48" s="3" t="inlineStr">
        <is>
          <t>2024\SDRW2400001439.1.1.152.csv</t>
        </is>
      </c>
      <c r="X48" s="3" t="inlineStr"/>
      <c r="Y48" s="3" t="inlineStr"/>
    </row>
    <row r="49">
      <c r="A49" s="3" t="inlineStr">
        <is>
          <t>2024</t>
        </is>
      </c>
      <c r="B49" s="3" t="inlineStr">
        <is>
          <t>SD2401137</t>
        </is>
      </c>
      <c r="C49" s="3" t="inlineStr">
        <is>
          <t>SDRW2400001439</t>
        </is>
      </c>
      <c r="D49" s="3" t="inlineStr">
        <is>
          <t>SDRW2400001439.1</t>
        </is>
      </c>
      <c r="E49" s="3" t="inlineStr">
        <is>
          <t>SD2401137 | SD2401138</t>
        </is>
      </c>
      <c r="F49" s="3" t="inlineStr">
        <is>
          <t>2</t>
        </is>
      </c>
      <c r="G49" s="3" t="inlineStr">
        <is>
          <t>SD2401138</t>
        </is>
      </c>
      <c r="H49" s="3" t="inlineStr">
        <is>
          <t>1</t>
        </is>
      </c>
      <c r="I49" s="3" t="inlineStr">
        <is>
          <t>SDRW2400001439.1.1.121</t>
        </is>
      </c>
      <c r="J49" s="3" t="inlineStr">
        <is>
          <t>약간 강아지들 하는 것처럼 해.</t>
        </is>
      </c>
      <c r="K49" s="3" t="inlineStr">
        <is>
          <t>약간 강아지들 하는 것처럼 해.</t>
        </is>
      </c>
      <c r="L49" s="3" t="inlineStr">
        <is>
          <t>약깐 강아지들 하는 걷처럼 해</t>
        </is>
      </c>
      <c r="M49" s="3" t="inlineStr">
        <is>
          <t>약간 강아지들 하는 것처럼 해.</t>
        </is>
      </c>
      <c r="N49" s="3" t="inlineStr">
        <is>
          <t>약깐 강아지들 하는 걷처럼 해</t>
        </is>
      </c>
      <c r="O49" s="3" t="inlineStr">
        <is>
          <t>form_rule_prediction</t>
        </is>
      </c>
      <c r="P49" s="3" t="inlineStr">
        <is>
          <t>resolved_form</t>
        </is>
      </c>
      <c r="Q49" s="3" t="inlineStr">
        <is>
          <t>all_lexical_slots</t>
        </is>
      </c>
      <c r="R49" s="3" t="inlineStr">
        <is>
          <t>all_lexical_slots</t>
        </is>
      </c>
      <c r="S49" s="3" t="inlineStr"/>
      <c r="T49" s="3" t="inlineStr">
        <is>
          <t>2024\SDRW2400001439.1.1.121.wav</t>
        </is>
      </c>
      <c r="U49" s="3" t="inlineStr">
        <is>
          <t>2024\SDRW2400001439.1.1.121.lab</t>
        </is>
      </c>
      <c r="V49" s="3" t="inlineStr">
        <is>
          <t>2024\SDRW2400001439.1.1.121.TextGrid</t>
        </is>
      </c>
      <c r="W49" s="3" t="inlineStr">
        <is>
          <t>2024\SDRW2400001439.1.1.121.csv</t>
        </is>
      </c>
      <c r="X49" s="3" t="inlineStr"/>
      <c r="Y49" s="3" t="inlineStr"/>
    </row>
    <row r="50">
      <c r="A50" s="3" t="inlineStr">
        <is>
          <t>2024</t>
        </is>
      </c>
      <c r="B50" s="3" t="inlineStr">
        <is>
          <t>SD2401293</t>
        </is>
      </c>
      <c r="C50" s="3" t="inlineStr">
        <is>
          <t>SDRW2400001727</t>
        </is>
      </c>
      <c r="D50" s="3" t="inlineStr">
        <is>
          <t>SDRW2400001727.1</t>
        </is>
      </c>
      <c r="E50" s="3" t="inlineStr">
        <is>
          <t>SD2401293 | SD2401294</t>
        </is>
      </c>
      <c r="F50" s="3" t="inlineStr">
        <is>
          <t>2</t>
        </is>
      </c>
      <c r="G50" s="3" t="inlineStr">
        <is>
          <t>SD2401294</t>
        </is>
      </c>
      <c r="H50" s="3" t="inlineStr">
        <is>
          <t>1</t>
        </is>
      </c>
      <c r="I50" s="3" t="inlineStr">
        <is>
          <t>SDRW2400001727.1.1.188</t>
        </is>
      </c>
      <c r="J50" s="3" t="inlineStr">
        <is>
          <t>이왕이면 좀 청주 공항 이용해서 갈 수 있는 데를 좀 알아볼게.</t>
        </is>
      </c>
      <c r="K50" s="3" t="inlineStr">
        <is>
          <t>이왕이면 쫌 청주 공항 이용해서 갈 수 있는 데를 좀 알아볼게.</t>
        </is>
      </c>
      <c r="L50" s="3" t="inlineStr">
        <is>
          <t>이왕이면 좀 청주 공항 이용해서 갈 수 인는 데를 좀 아라볼게</t>
        </is>
      </c>
      <c r="M50" s="3" t="inlineStr">
        <is>
          <t>이왕이면 좀 청주 공항 이용해서 갈 수 있는 데를 좀 알아볼게.</t>
        </is>
      </c>
      <c r="N50" s="3" t="inlineStr">
        <is>
          <t>이왕이면 좀 청주 공항 이용해서 갈 수 인는 데를 좀 아라볼게</t>
        </is>
      </c>
      <c r="O50" s="3" t="inlineStr">
        <is>
          <t>form_rule_prediction</t>
        </is>
      </c>
      <c r="P50" s="3" t="inlineStr">
        <is>
          <t>resolved_form</t>
        </is>
      </c>
      <c r="Q50" s="3" t="inlineStr">
        <is>
          <t>all_lexical_slots</t>
        </is>
      </c>
      <c r="R50" s="3" t="inlineStr">
        <is>
          <t>all_lexical_slots</t>
        </is>
      </c>
      <c r="S50" s="3" t="inlineStr"/>
      <c r="T50" s="3" t="inlineStr">
        <is>
          <t>2024\SDRW2400001727.1.1.188.wav</t>
        </is>
      </c>
      <c r="U50" s="3" t="inlineStr">
        <is>
          <t>2024\SDRW2400001727.1.1.188.lab</t>
        </is>
      </c>
      <c r="V50" s="3" t="inlineStr">
        <is>
          <t>2024\SDRW2400001727.1.1.188.TextGrid</t>
        </is>
      </c>
      <c r="W50" s="3" t="inlineStr">
        <is>
          <t>2024\SDRW2400001727.1.1.188.csv</t>
        </is>
      </c>
      <c r="X50" s="3" t="inlineStr"/>
      <c r="Y50" s="3" t="inlineStr"/>
    </row>
    <row r="51">
      <c r="A51" s="3" t="inlineStr">
        <is>
          <t>2024</t>
        </is>
      </c>
      <c r="B51" s="3" t="inlineStr">
        <is>
          <t>SD2401293</t>
        </is>
      </c>
      <c r="C51" s="3" t="inlineStr">
        <is>
          <t>SDRW2400001727</t>
        </is>
      </c>
      <c r="D51" s="3" t="inlineStr">
        <is>
          <t>SDRW2400001727.1</t>
        </is>
      </c>
      <c r="E51" s="3" t="inlineStr">
        <is>
          <t>SD2401293 | SD2401294</t>
        </is>
      </c>
      <c r="F51" s="3" t="inlineStr">
        <is>
          <t>2</t>
        </is>
      </c>
      <c r="G51" s="3" t="inlineStr">
        <is>
          <t>SD2401294</t>
        </is>
      </c>
      <c r="H51" s="3" t="inlineStr">
        <is>
          <t>1</t>
        </is>
      </c>
      <c r="I51" s="3" t="inlineStr">
        <is>
          <t>SDRW2400001727.1.1.4</t>
        </is>
      </c>
      <c r="J51" s="3" t="inlineStr">
        <is>
          <t>그리고 남편하고 이 분 4명이서 가는데</t>
        </is>
      </c>
      <c r="K51" s="3" t="inlineStr">
        <is>
          <t>그리고 남편하고 이 분 네 명이서 가는데</t>
        </is>
      </c>
      <c r="L51" s="3" t="inlineStr">
        <is>
          <t>그리고 남편하고 이 분 ∅ 가는데</t>
        </is>
      </c>
      <c r="M51" s="3" t="inlineStr">
        <is>
          <t>그리고 남편하고 이 분 네 명이서 가는데</t>
        </is>
      </c>
      <c r="N51" s="3" t="inlineStr">
        <is>
          <t>그리고 남편하고 이 분 네 명이서 가는데</t>
        </is>
      </c>
      <c r="O51" s="3" t="inlineStr">
        <is>
          <t>original_form_placeholder_resolution</t>
        </is>
      </c>
      <c r="P51" s="3" t="inlineStr">
        <is>
          <t>resolved_original_form</t>
        </is>
      </c>
      <c r="Q51" s="3" t="inlineStr">
        <is>
          <t>utterance_fallback</t>
        </is>
      </c>
      <c r="R51" s="3" t="inlineStr">
        <is>
          <t>utterance_fallback</t>
        </is>
      </c>
      <c r="S51" s="3" t="inlineStr">
        <is>
          <t>original_form: tokens=7, lexical_slots=10, labeled_slots=6; pron_reference: tokens=7, lexical_slots=10, labeled_slots=6</t>
        </is>
      </c>
      <c r="T51" s="3" t="inlineStr">
        <is>
          <t>2024\SDRW2400001727.1.1.4.wav</t>
        </is>
      </c>
      <c r="U51" s="3" t="inlineStr">
        <is>
          <t>2024\SDRW2400001727.1.1.4.lab</t>
        </is>
      </c>
      <c r="V51" s="3" t="inlineStr">
        <is>
          <t>2024\SDRW2400001727.1.1.4.TextGrid</t>
        </is>
      </c>
      <c r="W51" s="3" t="inlineStr">
        <is>
          <t>2024\SDRW2400001727.1.1.4.csv</t>
        </is>
      </c>
      <c r="X51" s="3" t="inlineStr"/>
      <c r="Y51" s="3" t="inlineStr"/>
    </row>
    <row r="52">
      <c r="A52" s="3" t="inlineStr">
        <is>
          <t>2025</t>
        </is>
      </c>
      <c r="B52" s="3" t="inlineStr">
        <is>
          <t>SD2500305</t>
        </is>
      </c>
      <c r="C52" s="3" t="inlineStr">
        <is>
          <t>SDRW2500000335</t>
        </is>
      </c>
      <c r="D52" s="3" t="inlineStr">
        <is>
          <t>SDRW2500000335.1</t>
        </is>
      </c>
      <c r="E52" s="3" t="inlineStr">
        <is>
          <t>SD2500302 | SD2500303 | SD2500304 | SD2500305</t>
        </is>
      </c>
      <c r="F52" s="3" t="inlineStr">
        <is>
          <t>4</t>
        </is>
      </c>
      <c r="G52" s="3" t="inlineStr">
        <is>
          <t>SD2500302 | SD2500303 | SD2500304</t>
        </is>
      </c>
      <c r="H52" s="3" t="inlineStr">
        <is>
          <t>3</t>
        </is>
      </c>
      <c r="I52" s="3" t="inlineStr">
        <is>
          <t>SDRW2500000335.1.1.238</t>
        </is>
      </c>
      <c r="J52" s="3" t="inlineStr">
        <is>
          <t>저도 좀 입기는 했었어요.</t>
        </is>
      </c>
      <c r="K52" s="3" t="inlineStr">
        <is>
          <t>저도 쫌 입기는 했었어요.</t>
        </is>
      </c>
      <c r="L52" s="3" t="inlineStr">
        <is>
          <t>저도 좀 입끼는 해써써요</t>
        </is>
      </c>
      <c r="M52" s="3" t="inlineStr">
        <is>
          <t>저도 좀 입기는 했었어요.</t>
        </is>
      </c>
      <c r="N52" s="3" t="inlineStr">
        <is>
          <t>저도 좀 입끼는 해써써요</t>
        </is>
      </c>
      <c r="O52" s="3" t="inlineStr">
        <is>
          <t>form_rule_prediction</t>
        </is>
      </c>
      <c r="P52" s="3" t="inlineStr">
        <is>
          <t>resolved_form</t>
        </is>
      </c>
      <c r="Q52" s="3" t="inlineStr">
        <is>
          <t>labeled_word_slots</t>
        </is>
      </c>
      <c r="R52" s="3" t="inlineStr">
        <is>
          <t>labeled_word_slots</t>
        </is>
      </c>
      <c r="S52" s="3" t="inlineStr"/>
      <c r="T52" s="3" t="inlineStr">
        <is>
          <t>2025\SDRW2500000335.1.1.238.wav</t>
        </is>
      </c>
      <c r="U52" s="3" t="inlineStr">
        <is>
          <t>2025\SDRW2500000335.1.1.238.lab</t>
        </is>
      </c>
      <c r="V52" s="3" t="inlineStr">
        <is>
          <t>2025\SDRW2500000335.1.1.238.TextGrid</t>
        </is>
      </c>
      <c r="W52" s="3" t="inlineStr">
        <is>
          <t>2025\SDRW2500000335.1.1.238.csv</t>
        </is>
      </c>
      <c r="X52" s="3" t="inlineStr"/>
      <c r="Y52" s="3" t="inlineStr"/>
    </row>
    <row r="53">
      <c r="A53" s="3" t="inlineStr">
        <is>
          <t>2025</t>
        </is>
      </c>
      <c r="B53" s="3" t="inlineStr">
        <is>
          <t>SD2500305</t>
        </is>
      </c>
      <c r="C53" s="3" t="inlineStr">
        <is>
          <t>SDRW2500000335</t>
        </is>
      </c>
      <c r="D53" s="3" t="inlineStr">
        <is>
          <t>SDRW2500000335.1</t>
        </is>
      </c>
      <c r="E53" s="3" t="inlineStr">
        <is>
          <t>SD2500302 | SD2500303 | SD2500304 | SD2500305</t>
        </is>
      </c>
      <c r="F53" s="3" t="inlineStr">
        <is>
          <t>4</t>
        </is>
      </c>
      <c r="G53" s="3" t="inlineStr">
        <is>
          <t>SD2500302 | SD2500303 | SD2500304</t>
        </is>
      </c>
      <c r="H53" s="3" t="inlineStr">
        <is>
          <t>3</t>
        </is>
      </c>
      <c r="I53" s="3" t="inlineStr">
        <is>
          <t>SDRW2500000335.1.1.45</t>
        </is>
      </c>
      <c r="J53" s="3" t="inlineStr">
        <is>
          <t>이게 그 쿠팡에서 우리가 어 야채를 샀을 때</t>
        </is>
      </c>
      <c r="K53" s="3" t="inlineStr">
        <is>
          <t>이게 그~ 쿠팡에서 우리가 어~ 야채를 샀을 때</t>
        </is>
      </c>
      <c r="L53" s="3" t="inlineStr">
        <is>
          <t>이게 그 쿠팡에서 우리가 어 야채를 사쓸 때</t>
        </is>
      </c>
      <c r="M53" s="3" t="inlineStr">
        <is>
          <t>이게 그 쿠팡에서 우리가 어 야채를 샀을 때</t>
        </is>
      </c>
      <c r="N53" s="3" t="inlineStr">
        <is>
          <t>이게 그 쿠팡에서 우리가 어 야채를 사쓸 때</t>
        </is>
      </c>
      <c r="O53" s="3" t="inlineStr">
        <is>
          <t>form_rule_prediction</t>
        </is>
      </c>
      <c r="P53" s="3" t="inlineStr">
        <is>
          <t>resolved_form</t>
        </is>
      </c>
      <c r="Q53" s="3" t="inlineStr">
        <is>
          <t>labeled_word_slots</t>
        </is>
      </c>
      <c r="R53" s="3" t="inlineStr">
        <is>
          <t>labeled_word_slots</t>
        </is>
      </c>
      <c r="S53" s="3" t="inlineStr"/>
      <c r="T53" s="3" t="inlineStr">
        <is>
          <t>2025\SDRW2500000335.1.1.45.wav</t>
        </is>
      </c>
      <c r="U53" s="3" t="inlineStr">
        <is>
          <t>2025\SDRW2500000335.1.1.45.lab</t>
        </is>
      </c>
      <c r="V53" s="3" t="inlineStr">
        <is>
          <t>2025\SDRW2500000335.1.1.45.TextGrid</t>
        </is>
      </c>
      <c r="W53" s="3" t="inlineStr">
        <is>
          <t>2025\SDRW2500000335.1.1.45.csv</t>
        </is>
      </c>
      <c r="X53" s="3" t="inlineStr"/>
      <c r="Y53" s="3" t="inlineStr"/>
    </row>
    <row r="54">
      <c r="A54" s="3" t="inlineStr">
        <is>
          <t>2025</t>
        </is>
      </c>
      <c r="B54" s="3" t="inlineStr">
        <is>
          <t>SD2500839</t>
        </is>
      </c>
      <c r="C54" s="3" t="inlineStr">
        <is>
          <t>SDRW2500000968</t>
        </is>
      </c>
      <c r="D54" s="3" t="inlineStr">
        <is>
          <t>SDRW2500000968.1</t>
        </is>
      </c>
      <c r="E54" s="3" t="inlineStr">
        <is>
          <t>SD2500839 | SD2500840</t>
        </is>
      </c>
      <c r="F54" s="3" t="inlineStr">
        <is>
          <t>2</t>
        </is>
      </c>
      <c r="G54" s="3" t="inlineStr">
        <is>
          <t>SD2500840</t>
        </is>
      </c>
      <c r="H54" s="3" t="inlineStr">
        <is>
          <t>1</t>
        </is>
      </c>
      <c r="I54" s="3" t="inlineStr">
        <is>
          <t>SDRW2500000968.1.1.140</t>
        </is>
      </c>
      <c r="J54" s="3" t="inlineStr">
        <is>
          <t>네.</t>
        </is>
      </c>
      <c r="K54" s="3" t="inlineStr">
        <is>
          <t>네.</t>
        </is>
      </c>
      <c r="L54" s="3" t="inlineStr">
        <is>
          <t>네</t>
        </is>
      </c>
      <c r="M54" s="3" t="inlineStr">
        <is>
          <t>네.</t>
        </is>
      </c>
      <c r="N54" s="3" t="inlineStr">
        <is>
          <t>네</t>
        </is>
      </c>
      <c r="O54" s="3" t="inlineStr">
        <is>
          <t>form_rule_prediction</t>
        </is>
      </c>
      <c r="P54" s="3" t="inlineStr">
        <is>
          <t>resolved_form</t>
        </is>
      </c>
      <c r="Q54" s="3" t="inlineStr">
        <is>
          <t>all_lexical_slots</t>
        </is>
      </c>
      <c r="R54" s="3" t="inlineStr">
        <is>
          <t>all_lexical_slots</t>
        </is>
      </c>
      <c r="S54" s="3" t="inlineStr"/>
      <c r="T54" s="3" t="inlineStr">
        <is>
          <t>2025\SDRW2500000968.1.1.140.wav</t>
        </is>
      </c>
      <c r="U54" s="3" t="inlineStr">
        <is>
          <t>2025\SDRW2500000968.1.1.140.lab</t>
        </is>
      </c>
      <c r="V54" s="3" t="inlineStr">
        <is>
          <t>2025\SDRW2500000968.1.1.140.TextGrid</t>
        </is>
      </c>
      <c r="W54" s="3" t="inlineStr">
        <is>
          <t>2025\SDRW2500000968.1.1.140.csv</t>
        </is>
      </c>
      <c r="X54" s="3" t="inlineStr"/>
      <c r="Y54" s="3" t="inlineStr"/>
    </row>
    <row r="55">
      <c r="A55" s="3" t="inlineStr">
        <is>
          <t>2025</t>
        </is>
      </c>
      <c r="B55" s="3" t="inlineStr">
        <is>
          <t>SD2500839</t>
        </is>
      </c>
      <c r="C55" s="3" t="inlineStr">
        <is>
          <t>SDRW2500000968</t>
        </is>
      </c>
      <c r="D55" s="3" t="inlineStr">
        <is>
          <t>SDRW2500000968.1</t>
        </is>
      </c>
      <c r="E55" s="3" t="inlineStr">
        <is>
          <t>SD2500839 | SD2500840</t>
        </is>
      </c>
      <c r="F55" s="3" t="inlineStr">
        <is>
          <t>2</t>
        </is>
      </c>
      <c r="G55" s="3" t="inlineStr">
        <is>
          <t>SD2500840</t>
        </is>
      </c>
      <c r="H55" s="3" t="inlineStr">
        <is>
          <t>1</t>
        </is>
      </c>
      <c r="I55" s="3" t="inlineStr">
        <is>
          <t>SDRW2500000968.1.1.203</t>
        </is>
      </c>
      <c r="J55" s="3" t="inlineStr">
        <is>
          <t>아 이런 거는 아이들도 미리 알면 좋겠다라는 것들을 같이 얘기해 보고 공부하니까</t>
        </is>
      </c>
      <c r="K55" s="3" t="inlineStr">
        <is>
          <t>아 이런 거는 아이들도 미리 알면 좋겠다라는 것들을 같이 얘기해 보고 공부하니까</t>
        </is>
      </c>
      <c r="L55" s="3" t="inlineStr">
        <is>
          <t>아 이런 거는 아이들도 미리 알면 조켇따라는 걷뜨를 가치 얘기해 보고 공부하니까</t>
        </is>
      </c>
      <c r="M55" s="3" t="inlineStr">
        <is>
          <t>아 이런 거는 아이들도 미리 알면 좋겠다라는 것들을 같이 얘기해 보고 공부하니까</t>
        </is>
      </c>
      <c r="N55" s="3" t="inlineStr">
        <is>
          <t>아 이런 거는 아이들도 미리 알면 조켇따라는 걷뜨를 가치 얘기해 보고 공부하니까</t>
        </is>
      </c>
      <c r="O55" s="3" t="inlineStr">
        <is>
          <t>form_rule_prediction</t>
        </is>
      </c>
      <c r="P55" s="3" t="inlineStr">
        <is>
          <t>resolved_form</t>
        </is>
      </c>
      <c r="Q55" s="3" t="inlineStr">
        <is>
          <t>labeled_word_slots</t>
        </is>
      </c>
      <c r="R55" s="3" t="inlineStr">
        <is>
          <t>labeled_word_slots</t>
        </is>
      </c>
      <c r="S55" s="3" t="inlineStr"/>
      <c r="T55" s="3" t="inlineStr">
        <is>
          <t>2025\SDRW2500000968.1.1.203.wav</t>
        </is>
      </c>
      <c r="U55" s="3" t="inlineStr">
        <is>
          <t>2025\SDRW2500000968.1.1.203.lab</t>
        </is>
      </c>
      <c r="V55" s="3" t="inlineStr">
        <is>
          <t>2025\SDRW2500000968.1.1.203.TextGrid</t>
        </is>
      </c>
      <c r="W55" s="3" t="inlineStr">
        <is>
          <t>2025\SDRW2500000968.1.1.203.csv</t>
        </is>
      </c>
      <c r="X55" s="3" t="inlineStr"/>
      <c r="Y55" s="3" t="inlineStr"/>
    </row>
    <row r="56">
      <c r="A56" s="3" t="inlineStr">
        <is>
          <t>2025</t>
        </is>
      </c>
      <c r="B56" s="3" t="inlineStr">
        <is>
          <t>SD2501615</t>
        </is>
      </c>
      <c r="C56" s="3" t="inlineStr">
        <is>
          <t>SDRW2500002056</t>
        </is>
      </c>
      <c r="D56" s="3" t="inlineStr">
        <is>
          <t>SDRW2500002056.1</t>
        </is>
      </c>
      <c r="E56" s="3" t="inlineStr">
        <is>
          <t>SD2501615 | SD2501616</t>
        </is>
      </c>
      <c r="F56" s="3" t="inlineStr">
        <is>
          <t>2</t>
        </is>
      </c>
      <c r="G56" s="3" t="inlineStr">
        <is>
          <t>SD2501616</t>
        </is>
      </c>
      <c r="H56" s="3" t="inlineStr">
        <is>
          <t>1</t>
        </is>
      </c>
      <c r="I56" s="3" t="inlineStr">
        <is>
          <t>SDRW2500002056.1.1.109</t>
        </is>
      </c>
      <c r="J56" s="3" t="inlineStr">
        <is>
          <t>그래 갖고 좀 할 게 많을 거 같아서 너무 자유롭고 좋을 거 같아.</t>
        </is>
      </c>
      <c r="K56" s="3" t="inlineStr">
        <is>
          <t>그래 갖고 쫌 할 게 많을 거 같아서 너무 자유롭고 좋을 거 같애.</t>
        </is>
      </c>
      <c r="L56" s="3" t="inlineStr">
        <is>
          <t>그래 갇꼬 좀 할 게 마늘 거 가타서 너무 자유롭꼬 조을 거 가타</t>
        </is>
      </c>
      <c r="M56" s="3" t="inlineStr">
        <is>
          <t>그래 갖고 좀 할 게 많을 거 같아서 너무 자유롭고 좋을 거 같아.</t>
        </is>
      </c>
      <c r="N56" s="3" t="inlineStr">
        <is>
          <t>그래 갇꼬 좀 할 게 마늘 거 가타서 너무 자유롭꼬 조을 거 가타</t>
        </is>
      </c>
      <c r="O56" s="3" t="inlineStr">
        <is>
          <t>form_rule_prediction</t>
        </is>
      </c>
      <c r="P56" s="3" t="inlineStr">
        <is>
          <t>resolved_form</t>
        </is>
      </c>
      <c r="Q56" s="3" t="inlineStr">
        <is>
          <t>labeled_word_slots</t>
        </is>
      </c>
      <c r="R56" s="3" t="inlineStr">
        <is>
          <t>labeled_word_slots</t>
        </is>
      </c>
      <c r="S56" s="3" t="inlineStr"/>
      <c r="T56" s="3" t="inlineStr">
        <is>
          <t>2025\SDRW2500002056.1.1.109.wav</t>
        </is>
      </c>
      <c r="U56" s="3" t="inlineStr">
        <is>
          <t>2025\SDRW2500002056.1.1.109.lab</t>
        </is>
      </c>
      <c r="V56" s="3" t="inlineStr">
        <is>
          <t>2025\SDRW2500002056.1.1.109.TextGrid</t>
        </is>
      </c>
      <c r="W56" s="3" t="inlineStr">
        <is>
          <t>2025\SDRW2500002056.1.1.109.csv</t>
        </is>
      </c>
      <c r="X56" s="3" t="inlineStr"/>
      <c r="Y56" s="3" t="inlineStr"/>
    </row>
    <row r="57">
      <c r="A57" s="3" t="inlineStr">
        <is>
          <t>2025</t>
        </is>
      </c>
      <c r="B57" s="3" t="inlineStr">
        <is>
          <t>SD2501615</t>
        </is>
      </c>
      <c r="C57" s="3" t="inlineStr">
        <is>
          <t>SDRW2500002056</t>
        </is>
      </c>
      <c r="D57" s="3" t="inlineStr">
        <is>
          <t>SDRW2500002056.1</t>
        </is>
      </c>
      <c r="E57" s="3" t="inlineStr">
        <is>
          <t>SD2501615 | SD2501616</t>
        </is>
      </c>
      <c r="F57" s="3" t="inlineStr">
        <is>
          <t>2</t>
        </is>
      </c>
      <c r="G57" s="3" t="inlineStr">
        <is>
          <t>SD2501616</t>
        </is>
      </c>
      <c r="H57" s="3" t="inlineStr">
        <is>
          <t>1</t>
        </is>
      </c>
      <c r="I57" s="3" t="inlineStr">
        <is>
          <t>SDRW2500002056.1.1.60</t>
        </is>
      </c>
      <c r="J57" s="3" t="inlineStr">
        <is>
          <t>바드 손이나 발에 묻으면은 좀 좀 불편할 거 같긴 하지만</t>
        </is>
      </c>
      <c r="K57" s="3" t="inlineStr">
        <is>
          <t>-바드- 손이나 발에 묻으면은 쫌 쫌 불편할 거 같긴 하지만</t>
        </is>
      </c>
      <c r="L57" s="3" t="inlineStr">
        <is>
          <t>바드 소니나 바레 무드며는 좀 좀 불편할 거 갇낀 하지만</t>
        </is>
      </c>
      <c r="M57" s="3" t="inlineStr">
        <is>
          <t>바드 손이나 발에 묻으면은 좀 좀 불편할 거 같긴 하지만</t>
        </is>
      </c>
      <c r="N57" s="3" t="inlineStr">
        <is>
          <t>바드 소니나 바레 무드며는 좀 좀 불편할 거 갇낀 하지만</t>
        </is>
      </c>
      <c r="O57" s="3" t="inlineStr">
        <is>
          <t>form_rule_prediction</t>
        </is>
      </c>
      <c r="P57" s="3" t="inlineStr">
        <is>
          <t>resolved_form</t>
        </is>
      </c>
      <c r="Q57" s="3" t="inlineStr">
        <is>
          <t>labeled_word_slots</t>
        </is>
      </c>
      <c r="R57" s="3" t="inlineStr">
        <is>
          <t>labeled_word_slots</t>
        </is>
      </c>
      <c r="S57" s="3" t="inlineStr"/>
      <c r="T57" s="3" t="inlineStr">
        <is>
          <t>2025\SDRW2500002056.1.1.60.wav</t>
        </is>
      </c>
      <c r="U57" s="3" t="inlineStr">
        <is>
          <t>2025\SDRW2500002056.1.1.60.lab</t>
        </is>
      </c>
      <c r="V57" s="3" t="inlineStr">
        <is>
          <t>2025\SDRW2500002056.1.1.60.TextGrid</t>
        </is>
      </c>
      <c r="W57" s="3" t="inlineStr">
        <is>
          <t>2025\SDRW2500002056.1.1.60.csv</t>
        </is>
      </c>
      <c r="X57" s="3" t="inlineStr"/>
      <c r="Y57" s="3" t="inlineStr"/>
    </row>
    <row r="58">
      <c r="A58" s="3" t="inlineStr">
        <is>
          <t>2025</t>
        </is>
      </c>
      <c r="B58" s="3" t="inlineStr">
        <is>
          <t>SD2501815</t>
        </is>
      </c>
      <c r="C58" s="3" t="inlineStr">
        <is>
          <t>SDRW2500002364</t>
        </is>
      </c>
      <c r="D58" s="3" t="inlineStr">
        <is>
          <t>SDRW2500002364.1</t>
        </is>
      </c>
      <c r="E58" s="3" t="inlineStr">
        <is>
          <t>SD2501815 | SD2501816</t>
        </is>
      </c>
      <c r="F58" s="3" t="inlineStr">
        <is>
          <t>2</t>
        </is>
      </c>
      <c r="G58" s="3" t="inlineStr">
        <is>
          <t>SD2501816</t>
        </is>
      </c>
      <c r="H58" s="3" t="inlineStr">
        <is>
          <t>1</t>
        </is>
      </c>
      <c r="I58" s="3" t="inlineStr">
        <is>
          <t>SDRW2500002364.1.1.1</t>
        </is>
      </c>
      <c r="J58" s="3" t="inlineStr">
        <is>
          <t>선생님은 요즘에 에이아이가 완전 난리가 났잖아요.</t>
        </is>
      </c>
      <c r="K58" s="3" t="inlineStr">
        <is>
          <t>선생님은 요즘에 에이아이가 완전 난리가 났잖아요.</t>
        </is>
      </c>
      <c r="L58" s="3" t="inlineStr">
        <is>
          <t>선생니믄 요즈메 에이아이가 완전 날리가 낟짜나요</t>
        </is>
      </c>
      <c r="M58" s="3" t="inlineStr">
        <is>
          <t>선생님은 요즘에 에이아이가 완전 난리가 났잖아요.</t>
        </is>
      </c>
      <c r="N58" s="3" t="inlineStr">
        <is>
          <t>선생니믄 요즈메 에이아이가 완전 날리가 낟짜나요</t>
        </is>
      </c>
      <c r="O58" s="3" t="inlineStr">
        <is>
          <t>form_rule_prediction</t>
        </is>
      </c>
      <c r="P58" s="3" t="inlineStr">
        <is>
          <t>resolved_form</t>
        </is>
      </c>
      <c r="Q58" s="3" t="inlineStr">
        <is>
          <t>labeled_word_slots</t>
        </is>
      </c>
      <c r="R58" s="3" t="inlineStr">
        <is>
          <t>labeled_word_slots</t>
        </is>
      </c>
      <c r="S58" s="3" t="inlineStr"/>
      <c r="T58" s="3" t="inlineStr">
        <is>
          <t>2025\SDRW2500002364.1.1.1.wav</t>
        </is>
      </c>
      <c r="U58" s="3" t="inlineStr">
        <is>
          <t>2025\SDRW2500002364.1.1.1.lab</t>
        </is>
      </c>
      <c r="V58" s="3" t="inlineStr">
        <is>
          <t>2025\SDRW2500002364.1.1.1.TextGrid</t>
        </is>
      </c>
      <c r="W58" s="3" t="inlineStr">
        <is>
          <t>2025\SDRW2500002364.1.1.1.csv</t>
        </is>
      </c>
      <c r="X58" s="3" t="inlineStr"/>
      <c r="Y58" s="3" t="inlineStr"/>
    </row>
    <row r="59">
      <c r="A59" s="3" t="inlineStr">
        <is>
          <t>2025</t>
        </is>
      </c>
      <c r="B59" s="3" t="inlineStr">
        <is>
          <t>SD2501815</t>
        </is>
      </c>
      <c r="C59" s="3" t="inlineStr">
        <is>
          <t>SDRW2500002364</t>
        </is>
      </c>
      <c r="D59" s="3" t="inlineStr">
        <is>
          <t>SDRW2500002364.1</t>
        </is>
      </c>
      <c r="E59" s="3" t="inlineStr">
        <is>
          <t>SD2501815 | SD2501816</t>
        </is>
      </c>
      <c r="F59" s="3" t="inlineStr">
        <is>
          <t>2</t>
        </is>
      </c>
      <c r="G59" s="3" t="inlineStr">
        <is>
          <t>SD2501816</t>
        </is>
      </c>
      <c r="H59" s="3" t="inlineStr">
        <is>
          <t>1</t>
        </is>
      </c>
      <c r="I59" s="3" t="inlineStr">
        <is>
          <t>SDRW2500002364.1.1.89</t>
        </is>
      </c>
      <c r="J59" s="3" t="inlineStr">
        <is>
          <t>뭐 에이 에이아이는 요즘에 진짜 너무 많이 돼 있고 노트북이라든가 뭐 스마</t>
        </is>
      </c>
      <c r="K59" s="3" t="inlineStr">
        <is>
          <t>뭐~ -에이- 에이아이는 요즘에 지자 너무 많이 돼 있고 노트북이라던가 뭐~ -스마-</t>
        </is>
      </c>
      <c r="L59" s="3" t="inlineStr">
        <is>
          <t>뭐 에이 에이아이는 요즈메 진짜 너무 마니 돼 읻꼬 노트부기라든가 뭐 스마</t>
        </is>
      </c>
      <c r="M59" s="3" t="inlineStr">
        <is>
          <t>뭐 에이 에이아이는 요즘에 진짜 너무 많이 돼 있고 노트북이라든가 뭐 스마</t>
        </is>
      </c>
      <c r="N59" s="3" t="inlineStr">
        <is>
          <t>뭐 에이 에이아이는 요즈메 진짜 너무 마니 돼 읻꼬 노트부기라든가 뭐 스마</t>
        </is>
      </c>
      <c r="O59" s="3" t="inlineStr">
        <is>
          <t>form_rule_prediction</t>
        </is>
      </c>
      <c r="P59" s="3" t="inlineStr">
        <is>
          <t>resolved_form</t>
        </is>
      </c>
      <c r="Q59" s="3" t="inlineStr">
        <is>
          <t>labeled_word_slots</t>
        </is>
      </c>
      <c r="R59" s="3" t="inlineStr">
        <is>
          <t>labeled_word_slots</t>
        </is>
      </c>
      <c r="S59" s="3" t="inlineStr"/>
      <c r="T59" s="3" t="inlineStr">
        <is>
          <t>2025\SDRW2500002364.1.1.89.wav</t>
        </is>
      </c>
      <c r="U59" s="3" t="inlineStr">
        <is>
          <t>2025\SDRW2500002364.1.1.89.lab</t>
        </is>
      </c>
      <c r="V59" s="3" t="inlineStr">
        <is>
          <t>2025\SDRW2500002364.1.1.89.TextGrid</t>
        </is>
      </c>
      <c r="W59" s="3" t="inlineStr">
        <is>
          <t>2025\SDRW2500002364.1.1.89.csv</t>
        </is>
      </c>
      <c r="X59" s="3" t="inlineStr"/>
      <c r="Y59" s="3" t="inlineStr"/>
    </row>
    <row r="60">
      <c r="A60" s="3" t="inlineStr">
        <is>
          <t>2025</t>
        </is>
      </c>
      <c r="B60" s="3" t="inlineStr">
        <is>
          <t>SD2502060</t>
        </is>
      </c>
      <c r="C60" s="3" t="inlineStr">
        <is>
          <t>SARW2500000286</t>
        </is>
      </c>
      <c r="D60" s="3" t="inlineStr">
        <is>
          <t>SARW2500000286.1</t>
        </is>
      </c>
      <c r="E60" s="3" t="inlineStr">
        <is>
          <t>SD2502060</t>
        </is>
      </c>
      <c r="F60" s="3" t="inlineStr">
        <is>
          <t>1</t>
        </is>
      </c>
      <c r="G60" s="3" t="inlineStr"/>
      <c r="H60" s="3" t="inlineStr">
        <is>
          <t>0</t>
        </is>
      </c>
      <c r="I60" s="3" t="inlineStr">
        <is>
          <t>SARW2500000286.1.1.57</t>
        </is>
      </c>
      <c r="J60" s="3" t="inlineStr">
        <is>
          <t>3 긍정적인 마무리 경험 만들기</t>
        </is>
      </c>
      <c r="K60" s="3" t="inlineStr">
        <is>
          <t>삼 긍정적인 마무리 경험 만들기</t>
        </is>
      </c>
      <c r="L60" s="3" t="inlineStr">
        <is>
          <t>∅ 긍정저긴 마무리 경험 만들기</t>
        </is>
      </c>
      <c r="M60" s="3" t="inlineStr">
        <is>
          <t>삼 긍정적인 마무리 경험 만들기</t>
        </is>
      </c>
      <c r="N60" s="3" t="inlineStr">
        <is>
          <t>삼 긍정저긴 마무리 경험 만들기</t>
        </is>
      </c>
      <c r="O60" s="3" t="inlineStr">
        <is>
          <t>original_form_placeholder_resolution</t>
        </is>
      </c>
      <c r="P60" s="3" t="inlineStr">
        <is>
          <t>resolved_original_form</t>
        </is>
      </c>
      <c r="Q60" s="3" t="inlineStr">
        <is>
          <t>utterance_fallback</t>
        </is>
      </c>
      <c r="R60" s="3" t="inlineStr">
        <is>
          <t>utterance_fallback</t>
        </is>
      </c>
      <c r="S60" s="3" t="inlineStr">
        <is>
          <t>original_form: tokens=5, lexical_slots=4, labeled_slots=4; pron_reference: tokens=5, lexical_slots=4, labeled_slots=4</t>
        </is>
      </c>
      <c r="T60" s="3" t="inlineStr">
        <is>
          <t>2025\SARW2500000286.1.1.57.wav</t>
        </is>
      </c>
      <c r="U60" s="3" t="inlineStr">
        <is>
          <t>2025\SARW2500000286.1.1.57.lab</t>
        </is>
      </c>
      <c r="V60" s="3" t="inlineStr">
        <is>
          <t>2025\SARW2500000286.1.1.57.TextGrid</t>
        </is>
      </c>
      <c r="W60" s="3" t="inlineStr">
        <is>
          <t>2025\SARW2500000286.1.1.57.csv</t>
        </is>
      </c>
      <c r="X60" s="3" t="inlineStr"/>
      <c r="Y60" s="3" t="inlineStr"/>
    </row>
    <row r="61">
      <c r="A61" s="3" t="inlineStr">
        <is>
          <t>2025</t>
        </is>
      </c>
      <c r="B61" s="3" t="inlineStr">
        <is>
          <t>SD2502060</t>
        </is>
      </c>
      <c r="C61" s="3" t="inlineStr">
        <is>
          <t>SARW2500000286</t>
        </is>
      </c>
      <c r="D61" s="3" t="inlineStr">
        <is>
          <t>SARW2500000286.1</t>
        </is>
      </c>
      <c r="E61" s="3" t="inlineStr">
        <is>
          <t>SD2502060</t>
        </is>
      </c>
      <c r="F61" s="3" t="inlineStr">
        <is>
          <t>1</t>
        </is>
      </c>
      <c r="G61" s="3" t="inlineStr"/>
      <c r="H61" s="3" t="inlineStr">
        <is>
          <t>0</t>
        </is>
      </c>
      <c r="I61" s="3" t="inlineStr">
        <is>
          <t>SARW2500000286.1.1.21</t>
        </is>
      </c>
      <c r="J61" s="3" t="inlineStr">
        <is>
          <t>특히 발바닥이나 배 엉덩이 같은 부위는 예민한 경우가 많기 때문에</t>
        </is>
      </c>
      <c r="K61" s="3" t="inlineStr">
        <is>
          <t>특히 발바닥이나 배 엉덩이 같은 부위는 예민한 경우가 많기 때문에</t>
        </is>
      </c>
      <c r="L61" s="3" t="inlineStr">
        <is>
          <t>트키 발바다기나 배 엉덩이 가튼 부위는 예민한 경우가 만키 때무네</t>
        </is>
      </c>
      <c r="M61" s="3" t="inlineStr">
        <is>
          <t>특히 발바닥이나 배 엉덩이 같은 부위는 예민한 경우가 많기 때문에</t>
        </is>
      </c>
      <c r="N61" s="3" t="inlineStr">
        <is>
          <t>트키 발바다기나 배 엉덩이 가튼 부위는 예민한 경우가 만키 때무네</t>
        </is>
      </c>
      <c r="O61" s="3" t="inlineStr">
        <is>
          <t>form_rule_prediction</t>
        </is>
      </c>
      <c r="P61" s="3" t="inlineStr">
        <is>
          <t>resolved_form</t>
        </is>
      </c>
      <c r="Q61" s="3" t="inlineStr">
        <is>
          <t>labeled_word_slots</t>
        </is>
      </c>
      <c r="R61" s="3" t="inlineStr">
        <is>
          <t>labeled_word_slots</t>
        </is>
      </c>
      <c r="S61" s="3" t="inlineStr"/>
      <c r="T61" s="3" t="inlineStr">
        <is>
          <t>2025\SARW2500000286.1.1.21.wav</t>
        </is>
      </c>
      <c r="U61" s="3" t="inlineStr">
        <is>
          <t>2025\SARW2500000286.1.1.21.lab</t>
        </is>
      </c>
      <c r="V61" s="3" t="inlineStr">
        <is>
          <t>2025\SARW2500000286.1.1.21.TextGrid</t>
        </is>
      </c>
      <c r="W61" s="3" t="inlineStr">
        <is>
          <t>2025\SARW2500000286.1.1.21.csv</t>
        </is>
      </c>
      <c r="X61" s="3" t="inlineStr"/>
      <c r="Y61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범주</t>
        </is>
      </c>
      <c r="B1" t="inlineStr">
        <is>
          <t>값</t>
        </is>
      </c>
    </row>
    <row r="2">
      <c r="A2" t="inlineStr">
        <is>
          <t>음성-문장</t>
        </is>
      </c>
      <c r="B2" t="inlineStr">
        <is>
          <t>일치</t>
        </is>
      </c>
    </row>
    <row r="3">
      <c r="A3" t="inlineStr">
        <is>
          <t>음성-문장</t>
        </is>
      </c>
      <c r="B3" t="inlineStr">
        <is>
          <t>불일치</t>
        </is>
      </c>
    </row>
    <row r="4">
      <c r="A4" t="inlineStr">
        <is>
          <t>음성-문장</t>
        </is>
      </c>
      <c r="B4" t="inlineStr">
        <is>
          <t>판단 불가</t>
        </is>
      </c>
    </row>
    <row r="5">
      <c r="A5" t="inlineStr">
        <is>
          <t>품질</t>
        </is>
      </c>
      <c r="B5" t="inlineStr">
        <is>
          <t>양호</t>
        </is>
      </c>
    </row>
    <row r="6">
      <c r="A6" t="inlineStr">
        <is>
          <t>품질</t>
        </is>
      </c>
      <c r="B6" t="inlineStr">
        <is>
          <t>수정 필요</t>
        </is>
      </c>
    </row>
    <row r="7">
      <c r="A7" t="inlineStr">
        <is>
          <t>품질</t>
        </is>
      </c>
      <c r="B7" t="inlineStr">
        <is>
          <t>판단 불가</t>
        </is>
      </c>
    </row>
    <row r="8">
      <c r="A8" t="inlineStr">
        <is>
          <t>종합</t>
        </is>
      </c>
      <c r="B8" t="inlineStr">
        <is>
          <t>통과</t>
        </is>
      </c>
    </row>
    <row r="9">
      <c r="A9" t="inlineStr">
        <is>
          <t>종합</t>
        </is>
      </c>
      <c r="B9" t="inlineStr">
        <is>
          <t>수정 필요</t>
        </is>
      </c>
    </row>
    <row r="10">
      <c r="A10" t="inlineStr">
        <is>
          <t>종합</t>
        </is>
      </c>
      <c r="B10" t="inlineStr">
        <is>
          <t>보류</t>
        </is>
      </c>
    </row>
    <row r="11">
      <c r="A11" t="inlineStr">
        <is>
          <t>재검토</t>
        </is>
      </c>
      <c r="B11" t="inlineStr">
        <is>
          <t>아니오</t>
        </is>
      </c>
    </row>
    <row r="12">
      <c r="A12" t="inlineStr">
        <is>
          <t>재검토</t>
        </is>
      </c>
      <c r="B12" t="inlineStr">
        <is>
          <t>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 (openpyxl 우회, 사용자 승인)</dc:creator>
  <dc:title>MFA 파일럿 연구자 검토표</dc:title>
  <dc:description>INDEX_ALL.csv를 보존하면서 연구자가 음성·TextGrid·CSV를 검토하고 판정을 기록할 수 있도록 생성한 워크북</dc:description>
  <dc:subject>2020-2025 연도별 층화 MFA 파일럿 수동 검토</dc:subject>
  <dcterms:created xsi:type="dcterms:W3CDTF">2026-07-25T02:04:05Z</dcterms:created>
  <dcterms:modified xsi:type="dcterms:W3CDTF">2026-07-25T02:04:05Z</dcterms:modified>
</cp:coreProperties>
</file>