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토안내" sheetId="1" state="visible" r:id="rId1"/>
    <sheet name="발음검토" sheetId="2" state="visible" r:id="rId2"/>
    <sheet name="발화근거" sheetId="3" state="visible" r:id="rId3"/>
    <sheet name="모델후보원자료" sheetId="4" state="visible" r:id="rId4"/>
    <sheet name="근거자료" sheetId="5" state="visible" r:id="rId5"/>
    <sheet name="동결모델프로브" sheetId="6" state="visible" r:id="rId6"/>
    <sheet name="재현계약" sheetId="7" state="visible" r:id="rId7"/>
  </sheets>
  <definedNames>
    <definedName name="_xlnm._FilterDatabase" localSheetId="1" hidden="1">'발음검토'!$A$1:$X$28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</font>
    <font>
      <name val="맑은 고딕"/>
      <b val="1"/>
      <color rgb="00183B56"/>
      <sz val="14"/>
    </font>
    <font>
      <b val="1"/>
      <color rgb="00FFFFFF"/>
    </font>
    <font>
      <b val="1"/>
      <color rgb="00183B56"/>
    </font>
    <font>
      <name val="Calibri"/>
      <family val="2"/>
      <color theme="10"/>
      <sz val="12"/>
      <scheme val="minor"/>
    </font>
    <font>
      <name val="맑은 고딕"/>
      <b val="1"/>
      <color rgb="00FFFFFF"/>
      <sz val="10"/>
    </font>
    <font>
      <name val="맑은 고딕"/>
      <color rgb="0017212B"/>
      <sz val="9"/>
    </font>
  </fonts>
  <fills count="7">
    <fill>
      <patternFill/>
    </fill>
    <fill>
      <patternFill patternType="gray125"/>
    </fill>
    <fill>
      <patternFill patternType="solid">
        <fgColor rgb="00183B56"/>
      </patternFill>
    </fill>
    <fill>
      <patternFill patternType="solid">
        <fgColor rgb="00E8F1FB"/>
      </patternFill>
    </fill>
    <fill>
      <patternFill patternType="solid">
        <fgColor rgb="000F766E"/>
      </patternFill>
    </fill>
    <fill>
      <patternFill patternType="solid">
        <fgColor rgb="00FFF4CC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7DEE6"/>
      </bottom>
    </border>
  </borders>
  <cellStyleXfs count="2">
    <xf numFmtId="0" fontId="0" fillId="0" borderId="0"/>
    <xf numFmtId="0" fontId="6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8" fillId="0" borderId="1" applyAlignment="1" pivotButton="0" quotePrefix="0" xfId="1">
      <alignment vertical="top" wrapText="1"/>
    </xf>
    <xf numFmtId="0" fontId="8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4F3E8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PronReviewTable" displayName="PronReviewTable" ref="A1:X28" headerRowCount="1">
  <autoFilter ref="A1:X28"/>
  <tableColumns count="24">
    <tableColumn id="1" name="review_order"/>
    <tableColumn id="2" name="category"/>
    <tableColumn id="3" name="token"/>
    <tableColumn id="4" name="occurrences"/>
    <tableColumn id="5" name="years"/>
    <tableColumn id="6" name="model_input"/>
    <tableColumn id="7" name="model_candidate_phone"/>
    <tableColumn id="8" name="recommended_hangul"/>
    <tableColumn id="9" name="recommended_phone"/>
    <tableColumn id="10" name="alternative_hangul"/>
    <tableColumn id="11" name="alternative_phone"/>
    <tableColumn id="12" name="recommendation_action"/>
    <tableColumn id="13" name="confidence"/>
    <tableColumn id="14" name="reason"/>
    <tableColumn id="15" name="source_url"/>
    <tableColumn id="16" name="example_utt_id"/>
    <tableColumn id="17" name="review_wav"/>
    <tableColumn id="18" name="researcher_decision"/>
    <tableColumn id="19" name="researcher_custom_phone"/>
    <tableColumn id="20" name="selected_approved_phone"/>
    <tableColumn id="21" name="researcher_notes"/>
    <tableColumn id="22" name="validation_status"/>
    <tableColumn id="23" name="source_handling"/>
    <tableColumn id="24" name="implementation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ccurrenceEvidenceTable" displayName="OccurrenceEvidenceTable" ref="A1:Q32" headerRowCount="1">
  <autoFilter ref="A1:Q32"/>
  <tableColumns count="17">
    <tableColumn id="1" name="review_order"/>
    <tableColumn id="2" name="source_kind"/>
    <tableColumn id="3" name="target_token"/>
    <tableColumn id="4" name="year"/>
    <tableColumn id="5" name="utt_id"/>
    <tableColumn id="6" name="session_id"/>
    <tableColumn id="7" name="speaker_id"/>
    <tableColumn id="8" name="form"/>
    <tableColumn id="9" name="original_form"/>
    <tableColumn id="10" name="pron_reference_hangul"/>
    <tableColumn id="11" name="pron_reference_source"/>
    <tableColumn id="12" name="pron_reference_status"/>
    <tableColumn id="13" name="raw_json_match_status"/>
    <tableColumn id="14" name="review_wav"/>
    <tableColumn id="15" name="original_wav"/>
    <tableColumn id="16" name="wav_bytes"/>
    <tableColumn id="17" name="wav_sha2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awCandidateTable" displayName="RawCandidateTable" ref="A1:H29" headerRowCount="1">
  <autoFilter ref="A1:H29"/>
  <tableColumns count="8">
    <tableColumn id="1" name="source_kind"/>
    <tableColumn id="2" name="token"/>
    <tableColumn id="3" name="model_input"/>
    <tableColumn id="4" name="model_candidate_phone"/>
    <tableColumn id="5" name="existing_approved_phone"/>
    <tableColumn id="6" name="decision"/>
    <tableColumn id="7" name="rule_or_evidence"/>
    <tableColumn id="8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videnceSourceTable" displayName="EvidenceSourceTable" ref="A1:D9" headerRowCount="1">
  <autoFilter ref="A1:D9"/>
  <tableColumns count="4">
    <tableColumn id="1" name="evidence_id"/>
    <tableColumn id="2" name="scope"/>
    <tableColumn id="3" name="finding"/>
    <tableColumn id="4" name="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NiklLexiconEvidenceTable" displayName="NiklLexiconEvidenceTable" ref="A12:I25" headerRowCount="1">
  <autoFilter ref="A12:I25"/>
  <tableColumns count="9">
    <tableColumn id="1" name="word"/>
    <tableColumn id="2" name="sense_no"/>
    <tableColumn id="3" name="pos_full"/>
    <tableColumn id="4" name="pron_1"/>
    <tableColumn id="5" name="pron_2"/>
    <tableColumn id="6" name="pron_g2p"/>
    <tableColumn id="7" name="origin"/>
    <tableColumn id="8" name="urimal_id"/>
    <tableColumn id="9" name="in_stdi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FrozenProbeTable" displayName="FrozenProbeTable" ref="A1:D22" headerRowCount="1">
  <autoFilter ref="A1:D22"/>
  <tableColumns count="4">
    <tableColumn id="1" name="probe_set"/>
    <tableColumn id="2" name="input"/>
    <tableColumn id="3" name="phones"/>
    <tableColumn id="4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orean.go.kr/kornorms/regltn/regltnView.do?regltn_code=0002" TargetMode="External" Id="rId1" /><Relationship Type="http://schemas.openxmlformats.org/officeDocument/2006/relationships/hyperlink" Target="file:///D:/mfa_common_pron/releases/common_pron_mfa_r2_20260728/03_review/researcher_review_bundle_20260729/wav/2023/SDRW2300000205/SDRW2300000205.1.1.80.wav" TargetMode="External" Id="rId2" /><Relationship Type="http://schemas.openxmlformats.org/officeDocument/2006/relationships/hyperlink" Target="https://korean.go.kr/kornorms/regltn/regltnView.do?regltn_code=0002" TargetMode="External" Id="rId3" /><Relationship Type="http://schemas.openxmlformats.org/officeDocument/2006/relationships/hyperlink" Target="file:///D:/mfa_common_pron/releases/common_pron_mfa_r2_20260728/03_review/researcher_review_bundle_20260729/wav/2022/SDRW2200001192/SDRW2200001192.1.1.182.wav" TargetMode="External" Id="rId4" /><Relationship Type="http://schemas.openxmlformats.org/officeDocument/2006/relationships/hyperlink" Target="https://korean.go.kr/kornorms/regltn/regltnView.do?regltn_code=0002" TargetMode="External" Id="rId5" /><Relationship Type="http://schemas.openxmlformats.org/officeDocument/2006/relationships/hyperlink" Target="file:///D:/mfa_common_pron/releases/common_pron_mfa_r2_20260728/03_review/researcher_review_bundle_20260729/wav/2024/SDRW2400000652/SDRW2400000652.1.1.50.wav" TargetMode="External" Id="rId6" /><Relationship Type="http://schemas.openxmlformats.org/officeDocument/2006/relationships/hyperlink" Target="https://korean.go.kr/kornorms/regltn/regltnView.do?regltn_code=0002" TargetMode="External" Id="rId7" /><Relationship Type="http://schemas.openxmlformats.org/officeDocument/2006/relationships/hyperlink" Target="file:///D:/mfa_common_pron/releases/common_pron_mfa_r2_20260728/03_review/researcher_review_bundle_20260729/wav/2021/SDRW2100004088/SDRW2100004088.1.1.138.wav" TargetMode="External" Id="rId8" /><Relationship Type="http://schemas.openxmlformats.org/officeDocument/2006/relationships/hyperlink" Target="https://korean.go.kr/kornorms/regltn/regltnView.do?regltn_code=0002" TargetMode="External" Id="rId9" /><Relationship Type="http://schemas.openxmlformats.org/officeDocument/2006/relationships/hyperlink" Target="file:///D:/mfa_common_pron/releases/common_pron_mfa_r2_20260728/03_review/researcher_review_bundle_20260729/wav/2023/SDRW2300000337/SDRW2300000337.1.1.142.wav" TargetMode="External" Id="rId10" /><Relationship Type="http://schemas.openxmlformats.org/officeDocument/2006/relationships/hyperlink" Target="https://korean.go.kr/kornorms/regltn/regltnView.do?regltn_code=0002" TargetMode="External" Id="rId11" /><Relationship Type="http://schemas.openxmlformats.org/officeDocument/2006/relationships/hyperlink" Target="file:///D:/mfa_common_pron/releases/common_pron_mfa_r2_20260728/03_review/researcher_review_bundle_20260729/wav/2020/SDRW2000002214/SDRW2000002214.1.1.232.wav" TargetMode="External" Id="rId12" /><Relationship Type="http://schemas.openxmlformats.org/officeDocument/2006/relationships/hyperlink" Target="https://korean.go.kr/kornorms/regltn/regltnView.do?regltn_code=0002" TargetMode="External" Id="rId13" /><Relationship Type="http://schemas.openxmlformats.org/officeDocument/2006/relationships/hyperlink" Target="file:///D:/mfa_common_pron/releases/common_pron_mfa_r2_20260728/03_review/researcher_review_bundle_20260729/wav/2020/SDRW2000001801/SDRW2000001801.1.1.66.wav" TargetMode="External" Id="rId14" /><Relationship Type="http://schemas.openxmlformats.org/officeDocument/2006/relationships/hyperlink" Target="https://korean.go.kr/kornorms/regltn/regltnView.do?regltn_code=0002" TargetMode="External" Id="rId15" /><Relationship Type="http://schemas.openxmlformats.org/officeDocument/2006/relationships/hyperlink" Target="file:///D:/mfa_common_pron/releases/common_pron_mfa_r2_20260728/03_review/researcher_review_bundle_20260729/wav/2021/SDRW2100001599/SDRW2100001599.1.1.59.wav" TargetMode="External" Id="rId16" /><Relationship Type="http://schemas.openxmlformats.org/officeDocument/2006/relationships/hyperlink" Target="https://korean.go.kr/kornorms/regltn/regltnView.do?regltn_code=0002" TargetMode="External" Id="rId17" /><Relationship Type="http://schemas.openxmlformats.org/officeDocument/2006/relationships/hyperlink" Target="file:///D:/mfa_common_pron/releases/common_pron_mfa_r2_20260728/03_review/researcher_review_bundle_20260729/wav/2024/SDRW2400001199/SDRW2400001199.1.1.58.wav" TargetMode="External" Id="rId18" /><Relationship Type="http://schemas.openxmlformats.org/officeDocument/2006/relationships/hyperlink" Target="https://korean.go.kr/kornorms/regltn/regltnView.do?regltn_code=0002" TargetMode="External" Id="rId19" /><Relationship Type="http://schemas.openxmlformats.org/officeDocument/2006/relationships/hyperlink" Target="file:///D:/mfa_common_pron/releases/common_pron_mfa_r2_20260728/03_review/researcher_review_bundle_20260729/wav/2021/SDRW2100001722/SDRW2100001722.1.1.56.wav" TargetMode="External" Id="rId20" /><Relationship Type="http://schemas.openxmlformats.org/officeDocument/2006/relationships/hyperlink" Target="https://korean.go.kr/kornorms/regltn/regltnView.do?regltn_code=0002" TargetMode="External" Id="rId21" /><Relationship Type="http://schemas.openxmlformats.org/officeDocument/2006/relationships/hyperlink" Target="file:///D:/mfa_common_pron/releases/common_pron_mfa_r2_20260728/03_review/researcher_review_bundle_20260729/wav/2023/SDRW2300001424/SDRW2300001424.1.1.214.wav" TargetMode="External" Id="rId22" /><Relationship Type="http://schemas.openxmlformats.org/officeDocument/2006/relationships/hyperlink" Target="https://korean.go.kr/kornorms/regltn/regltnView.do?regltn_code=0002" TargetMode="External" Id="rId23" /><Relationship Type="http://schemas.openxmlformats.org/officeDocument/2006/relationships/hyperlink" Target="file:///D:/mfa_common_pron/releases/common_pron_mfa_r2_20260728/03_review/researcher_review_bundle_20260729/wav/2023/SDRW2300001040/SDRW2300001040.1.1.303.wav" TargetMode="External" Id="rId24" /><Relationship Type="http://schemas.openxmlformats.org/officeDocument/2006/relationships/hyperlink" Target="https://korean.go.kr/kornorms/regltn/regltnView.do?regltn_code=0002" TargetMode="External" Id="rId25" /><Relationship Type="http://schemas.openxmlformats.org/officeDocument/2006/relationships/hyperlink" Target="file:///D:/mfa_common_pron/releases/common_pron_mfa_r2_20260728/03_review/researcher_review_bundle_20260729/wav/2023/SDRW2300001040/SDRW2300001040.1.1.298.wav" TargetMode="External" Id="rId26" /><Relationship Type="http://schemas.openxmlformats.org/officeDocument/2006/relationships/hyperlink" Target="https://korean.go.kr/kornorms/regltn/regltnView.do?regltn_code=0002" TargetMode="External" Id="rId27" /><Relationship Type="http://schemas.openxmlformats.org/officeDocument/2006/relationships/hyperlink" Target="file:///D:/mfa_common_pron/releases/common_pron_mfa_r2_20260728/03_review/researcher_review_bundle_20260729/wav/2025/SDRW2500002085/SDRW2500002085.1.1.100.wav" TargetMode="External" Id="rId28" /><Relationship Type="http://schemas.openxmlformats.org/officeDocument/2006/relationships/hyperlink" Target="https://korean.go.kr/kornorms/regltn/regltnView.do?regltn_code=0002" TargetMode="External" Id="rId29" /><Relationship Type="http://schemas.openxmlformats.org/officeDocument/2006/relationships/hyperlink" Target="file:///D:/mfa_common_pron/releases/common_pron_mfa_r2_20260728/03_review/researcher_review_bundle_20260729/wav/2025/SARW2500000384/SARW2500000384.1.1.109.wav" TargetMode="External" Id="rId30" /><Relationship Type="http://schemas.openxmlformats.org/officeDocument/2006/relationships/hyperlink" Target="https://korean.go.kr/kornorms/regltn/regltnView.do?regltn_code=0002" TargetMode="External" Id="rId31" /><Relationship Type="http://schemas.openxmlformats.org/officeDocument/2006/relationships/hyperlink" Target="file:///D:/mfa_common_pron/releases/common_pron_mfa_r2_20260728/03_review/researcher_review_bundle_20260729/wav/2025/SARW2500000384/SARW2500000384.1.1.155.wav" TargetMode="External" Id="rId32" /><Relationship Type="http://schemas.openxmlformats.org/officeDocument/2006/relationships/hyperlink" Target="https://korean.go.kr/kornorms/regltn/regltnView.do?regltn_code=0002" TargetMode="External" Id="rId33" /><Relationship Type="http://schemas.openxmlformats.org/officeDocument/2006/relationships/hyperlink" Target="file:///D:/mfa_common_pron/releases/common_pron_mfa_r2_20260728/03_review/researcher_review_bundle_20260729/wav/2024/SDRW2400002478/SDRW2400002478.1.1.26.wav" TargetMode="External" Id="rId34" /><Relationship Type="http://schemas.openxmlformats.org/officeDocument/2006/relationships/hyperlink" Target="https://korean.go.kr/kornorms/regltn/regltnView.do?regltn_code=0002" TargetMode="External" Id="rId35" /><Relationship Type="http://schemas.openxmlformats.org/officeDocument/2006/relationships/hyperlink" Target="file:///D:/mfa_common_pron/releases/common_pron_mfa_r2_20260728/03_review/researcher_review_bundle_20260729/wav/2025/SDRW2500002345/SDRW2500002345.1.1.153.wav" TargetMode="External" Id="rId36" /><Relationship Type="http://schemas.openxmlformats.org/officeDocument/2006/relationships/hyperlink" Target="https://korean.go.kr/kornorms/regltn/regltnView.do?regltn_code=0002" TargetMode="External" Id="rId37" /><Relationship Type="http://schemas.openxmlformats.org/officeDocument/2006/relationships/hyperlink" Target="file:///D:/mfa_common_pron/releases/common_pron_mfa_r2_20260728/03_review/researcher_review_bundle_20260729/wav/2023/SDRW2300001040/SDRW2300001040.1.1.293.wav" TargetMode="External" Id="rId38" /><Relationship Type="http://schemas.openxmlformats.org/officeDocument/2006/relationships/hyperlink" Target="https://korean.go.kr/kornorms/regltn/regltnView.do?regltn_code=0002" TargetMode="External" Id="rId39" /><Relationship Type="http://schemas.openxmlformats.org/officeDocument/2006/relationships/hyperlink" Target="file:///D:/mfa_common_pron/releases/common_pron_mfa_r2_20260728/03_review/researcher_review_bundle_20260729/wav/2020/SDRW2000000115/SDRW2000000115.1.1.191.wav" TargetMode="External" Id="rId40" /><Relationship Type="http://schemas.openxmlformats.org/officeDocument/2006/relationships/hyperlink" Target="https://korean.go.kr/kornorms/regltn/regltnView.do?regltn_code=0002" TargetMode="External" Id="rId41" /><Relationship Type="http://schemas.openxmlformats.org/officeDocument/2006/relationships/hyperlink" Target="file:///D:/mfa_common_pron/releases/common_pron_mfa_r2_20260728/03_review/researcher_review_bundle_20260729/wav/2023/SDRW2300000212/SDRW2300000212.1.1.283.wav" TargetMode="External" Id="rId42" /><Relationship Type="http://schemas.openxmlformats.org/officeDocument/2006/relationships/hyperlink" Target="https://korean.go.kr/kornorms/regltn/regltnView.do?regltn_code=0002" TargetMode="External" Id="rId43" /><Relationship Type="http://schemas.openxmlformats.org/officeDocument/2006/relationships/hyperlink" Target="file:///D:/mfa_common_pron/releases/common_pron_mfa_r2_20260728/03_review/researcher_review_bundle_20260729/wav/2025/SARW2500000384/SARW2500000384.1.1.122.wav" TargetMode="External" Id="rId44" /><Relationship Type="http://schemas.openxmlformats.org/officeDocument/2006/relationships/hyperlink" Target="https://korean.go.kr/kornorms/regltn/regltnView.do?regltn_code=0002" TargetMode="External" Id="rId45" /><Relationship Type="http://schemas.openxmlformats.org/officeDocument/2006/relationships/hyperlink" Target="file:///D:/mfa_common_pron/releases/common_pron_mfa_r2_20260728/03_review/researcher_review_bundle_20260729/wav/2021/SDRW2100002577/SDRW2100002577.1.1.124.wav" TargetMode="External" Id="rId46" /><Relationship Type="http://schemas.openxmlformats.org/officeDocument/2006/relationships/hyperlink" Target="https://www.korean.go.kr/front/onlineQna/onlineQnaView.do?mn_id=216&amp;pageIndex=1&amp;qna_seq=329993" TargetMode="External" Id="rId47" /><Relationship Type="http://schemas.openxmlformats.org/officeDocument/2006/relationships/hyperlink" Target="file:///D:/mfa_common_pron/releases/common_pron_mfa_r2_20260728/03_review/researcher_review_bundle_20260729/wav/2022/SDRW2200001054/SDRW2200001054.1.1.156.wav" TargetMode="External" Id="rId48" /><Relationship Type="http://schemas.openxmlformats.org/officeDocument/2006/relationships/hyperlink" Target="https://korean.go.kr/kornorms/regltn/regltnView.do?regltn_code=0002" TargetMode="External" Id="rId49" /><Relationship Type="http://schemas.openxmlformats.org/officeDocument/2006/relationships/hyperlink" Target="file:///D:/mfa_common_pron/releases/common_pron_mfa_r2_20260728/03_review/researcher_review_bundle_20260729/wav/2025/SARW2500000503/SARW2500000503.1.1.51.wav" TargetMode="External" Id="rId50" /><Relationship Type="http://schemas.openxmlformats.org/officeDocument/2006/relationships/hyperlink" Target="https://www.korean.go.kr/front/onlineQna/onlineQnaView.do?mn_id=216&amp;pageIndex=1&amp;qna_seq=324494" TargetMode="External" Id="rId51" /><Relationship Type="http://schemas.openxmlformats.org/officeDocument/2006/relationships/hyperlink" Target="file:///D:/mfa_common_pron/releases/common_pron_mfa_r2_20260728/03_review/researcher_review_bundle_20260729/wav/2025/SARW2500000503/SARW2500000503.1.1.54.wav" TargetMode="External" Id="rId52" /><Relationship Type="http://schemas.openxmlformats.org/officeDocument/2006/relationships/hyperlink" Target="https://www.korean.go.kr/front/onlineQna/onlineQnaView.do?mn_id=216&amp;pageIndex=1&amp;qna_seq=278421" TargetMode="External" Id="rId53" /><Relationship Type="http://schemas.openxmlformats.org/officeDocument/2006/relationships/hyperlink" Target="file:///D:/mfa_common_pron/releases/common_pron_mfa_r2_20260728/03_review/researcher_review_bundle_20260729/wav/2021/SDRW2100003843/SDRW2100003843.1.1.46.wav" TargetMode="External" Id="rId54" /><Relationship Type="http://schemas.openxmlformats.org/officeDocument/2006/relationships/table" Target="/xl/tables/table1.xml" Id="rId55" /></Relationships>
</file>

<file path=xl/worksheets/_rels/sheet3.xml.rels><Relationships xmlns="http://schemas.openxmlformats.org/package/2006/relationships"><Relationship Type="http://schemas.openxmlformats.org/officeDocument/2006/relationships/hyperlink" Target="file:///D:/mfa_common_pron/releases/common_pron_mfa_r2_20260728/03_review/researcher_review_bundle_20260729/wav/2022/SDRW2200001054/SDRW2200001054.1.1.156.wav" TargetMode="External" Id="rId1" /><Relationship Type="http://schemas.openxmlformats.org/officeDocument/2006/relationships/hyperlink" Target="file:///D:/20_AUDIO/03_wav/individual/2022/SDRW2200001054/SDRW2200001054.1.1.156.wav" TargetMode="External" Id="rId2" /><Relationship Type="http://schemas.openxmlformats.org/officeDocument/2006/relationships/hyperlink" Target="file:///D:/mfa_common_pron/releases/common_pron_mfa_r2_20260728/03_review/researcher_review_bundle_20260729/wav/2025/SARW2500000503/SARW2500000503.1.1.51.wav" TargetMode="External" Id="rId3" /><Relationship Type="http://schemas.openxmlformats.org/officeDocument/2006/relationships/hyperlink" Target="file:///D:/20_AUDIO/03_wav/individual/2025/SARW2500000503/SARW2500000503.1.1.51.wav" TargetMode="External" Id="rId4" /><Relationship Type="http://schemas.openxmlformats.org/officeDocument/2006/relationships/hyperlink" Target="file:///D:/mfa_common_pron/releases/common_pron_mfa_r2_20260728/03_review/researcher_review_bundle_20260729/wav/2025/SARW2500000503/SARW2500000503.1.1.54.wav" TargetMode="External" Id="rId5" /><Relationship Type="http://schemas.openxmlformats.org/officeDocument/2006/relationships/hyperlink" Target="file:///D:/20_AUDIO/03_wav/individual/2025/SARW2500000503/SARW2500000503.1.1.54.wav" TargetMode="External" Id="rId6" /><Relationship Type="http://schemas.openxmlformats.org/officeDocument/2006/relationships/hyperlink" Target="file:///D:/mfa_common_pron/releases/common_pron_mfa_r2_20260728/03_review/researcher_review_bundle_20260729/wav/2021/SDRW2100003843/SDRW2100003843.1.1.46.wav" TargetMode="External" Id="rId7" /><Relationship Type="http://schemas.openxmlformats.org/officeDocument/2006/relationships/hyperlink" Target="file:///D:/20_AUDIO/03_wav/individual/2021/SDRW2100003843/SDRW2100003843.1.1.46.wav" TargetMode="External" Id="rId8" /><Relationship Type="http://schemas.openxmlformats.org/officeDocument/2006/relationships/hyperlink" Target="file:///D:/mfa_common_pron/releases/common_pron_mfa_r2_20260728/03_review/researcher_review_bundle_20260729/wav/2023/SDRW2300000205/SDRW2300000205.1.1.80.wav" TargetMode="External" Id="rId9" /><Relationship Type="http://schemas.openxmlformats.org/officeDocument/2006/relationships/hyperlink" Target="file:///D:/20_AUDIO/03_wav/individual/2023/SDRW2300000205/SDRW2300000205.1.1.80.wav" TargetMode="External" Id="rId10" /><Relationship Type="http://schemas.openxmlformats.org/officeDocument/2006/relationships/hyperlink" Target="file:///D:/mfa_common_pron/releases/common_pron_mfa_r2_20260728/03_review/researcher_review_bundle_20260729/wav/2022/SDRW2200001192/SDRW2200001192.1.1.182.wav" TargetMode="External" Id="rId11" /><Relationship Type="http://schemas.openxmlformats.org/officeDocument/2006/relationships/hyperlink" Target="file:///D:/20_AUDIO/03_wav/individual/2022/SDRW2200001192/SDRW2200001192.1.1.182.wav" TargetMode="External" Id="rId12" /><Relationship Type="http://schemas.openxmlformats.org/officeDocument/2006/relationships/hyperlink" Target="file:///D:/mfa_common_pron/releases/common_pron_mfa_r2_20260728/03_review/researcher_review_bundle_20260729/wav/2023/SDRW2300000337/SDRW2300000337.1.1.143.wav" TargetMode="External" Id="rId13" /><Relationship Type="http://schemas.openxmlformats.org/officeDocument/2006/relationships/hyperlink" Target="file:///D:/20_AUDIO/03_wav/individual/2023/SDRW2300000337/SDRW2300000337.1.1.143.wav" TargetMode="External" Id="rId14" /><Relationship Type="http://schemas.openxmlformats.org/officeDocument/2006/relationships/hyperlink" Target="file:///D:/mfa_common_pron/releases/common_pron_mfa_r2_20260728/03_review/researcher_review_bundle_20260729/wav/2024/SDRW2400000652/SDRW2400000652.1.1.50.wav" TargetMode="External" Id="rId15" /><Relationship Type="http://schemas.openxmlformats.org/officeDocument/2006/relationships/hyperlink" Target="file:///D:/20_AUDIO/03_wav/individual/2024/SDRW2400000652/SDRW2400000652.1.1.50.wav" TargetMode="External" Id="rId16" /><Relationship Type="http://schemas.openxmlformats.org/officeDocument/2006/relationships/hyperlink" Target="file:///D:/mfa_common_pron/releases/common_pron_mfa_r2_20260728/03_review/researcher_review_bundle_20260729/wav/2021/SDRW2100004088/SDRW2100004088.1.1.138.wav" TargetMode="External" Id="rId17" /><Relationship Type="http://schemas.openxmlformats.org/officeDocument/2006/relationships/hyperlink" Target="file:///D:/20_AUDIO/03_wav/individual/2021/SDRW2100004088/SDRW2100004088.1.1.138.wav" TargetMode="External" Id="rId18" /><Relationship Type="http://schemas.openxmlformats.org/officeDocument/2006/relationships/hyperlink" Target="file:///D:/mfa_common_pron/releases/common_pron_mfa_r2_20260728/03_review/researcher_review_bundle_20260729/wav/2023/SDRW2300000337/SDRW2300000337.1.1.142.wav" TargetMode="External" Id="rId19" /><Relationship Type="http://schemas.openxmlformats.org/officeDocument/2006/relationships/hyperlink" Target="file:///D:/20_AUDIO/03_wav/individual/2023/SDRW2300000337/SDRW2300000337.1.1.142.wav" TargetMode="External" Id="rId20" /><Relationship Type="http://schemas.openxmlformats.org/officeDocument/2006/relationships/hyperlink" Target="file:///D:/mfa_common_pron/releases/common_pron_mfa_r2_20260728/03_review/researcher_review_bundle_20260729/wav/2020/SDRW2000002214/SDRW2000002214.1.1.232.wav" TargetMode="External" Id="rId21" /><Relationship Type="http://schemas.openxmlformats.org/officeDocument/2006/relationships/hyperlink" Target="file:///D:/20_AUDIO/03_wav/individual/2020/SDRW2000002214/SDRW2000002214.1.1.232.wav" TargetMode="External" Id="rId22" /><Relationship Type="http://schemas.openxmlformats.org/officeDocument/2006/relationships/hyperlink" Target="file:///D:/mfa_common_pron/releases/common_pron_mfa_r2_20260728/03_review/researcher_review_bundle_20260729/wav/2020/SDRW2000001801/SDRW2000001801.1.1.66.wav" TargetMode="External" Id="rId23" /><Relationship Type="http://schemas.openxmlformats.org/officeDocument/2006/relationships/hyperlink" Target="file:///D:/20_AUDIO/03_wav/individual/2020/SDRW2000001801/SDRW2000001801.1.1.66.wav" TargetMode="External" Id="rId24" /><Relationship Type="http://schemas.openxmlformats.org/officeDocument/2006/relationships/hyperlink" Target="file:///D:/mfa_common_pron/releases/common_pron_mfa_r2_20260728/03_review/researcher_review_bundle_20260729/wav/2021/SDRW2100001599/SDRW2100001599.1.1.59.wav" TargetMode="External" Id="rId25" /><Relationship Type="http://schemas.openxmlformats.org/officeDocument/2006/relationships/hyperlink" Target="file:///D:/20_AUDIO/03_wav/individual/2021/SDRW2100001599/SDRW2100001599.1.1.59.wav" TargetMode="External" Id="rId26" /><Relationship Type="http://schemas.openxmlformats.org/officeDocument/2006/relationships/hyperlink" Target="file:///D:/mfa_common_pron/releases/common_pron_mfa_r2_20260728/03_review/researcher_review_bundle_20260729/wav/2024/SDRW2400001199/SDRW2400001199.1.1.58.wav" TargetMode="External" Id="rId27" /><Relationship Type="http://schemas.openxmlformats.org/officeDocument/2006/relationships/hyperlink" Target="file:///D:/20_AUDIO/03_wav/individual/2024/SDRW2400001199/SDRW2400001199.1.1.58.wav" TargetMode="External" Id="rId28" /><Relationship Type="http://schemas.openxmlformats.org/officeDocument/2006/relationships/hyperlink" Target="file:///D:/mfa_common_pron/releases/common_pron_mfa_r2_20260728/03_review/researcher_review_bundle_20260729/wav/2021/SDRW2100001722/SDRW2100001722.1.1.56.wav" TargetMode="External" Id="rId29" /><Relationship Type="http://schemas.openxmlformats.org/officeDocument/2006/relationships/hyperlink" Target="file:///D:/20_AUDIO/03_wav/individual/2021/SDRW2100001722/SDRW2100001722.1.1.56.wav" TargetMode="External" Id="rId30" /><Relationship Type="http://schemas.openxmlformats.org/officeDocument/2006/relationships/hyperlink" Target="file:///D:/mfa_common_pron/releases/common_pron_mfa_r2_20260728/03_review/researcher_review_bundle_20260729/wav/2023/SDRW2300001424/SDRW2300001424.1.1.214.wav" TargetMode="External" Id="rId31" /><Relationship Type="http://schemas.openxmlformats.org/officeDocument/2006/relationships/hyperlink" Target="file:///D:/20_AUDIO/03_wav/individual/2023/SDRW2300001424/SDRW2300001424.1.1.214.wav" TargetMode="External" Id="rId32" /><Relationship Type="http://schemas.openxmlformats.org/officeDocument/2006/relationships/hyperlink" Target="file:///D:/mfa_common_pron/releases/common_pron_mfa_r2_20260728/03_review/researcher_review_bundle_20260729/wav/2023/SDRW2300001040/SDRW2300001040.1.1.303.wav" TargetMode="External" Id="rId33" /><Relationship Type="http://schemas.openxmlformats.org/officeDocument/2006/relationships/hyperlink" Target="file:///D:/20_AUDIO/03_wav/individual/2023/SDRW2300001040/SDRW2300001040.1.1.303.wav" TargetMode="External" Id="rId34" /><Relationship Type="http://schemas.openxmlformats.org/officeDocument/2006/relationships/hyperlink" Target="file:///D:/mfa_common_pron/releases/common_pron_mfa_r2_20260728/03_review/researcher_review_bundle_20260729/wav/2023/SDRW2300001040/SDRW2300001040.1.1.298.wav" TargetMode="External" Id="rId35" /><Relationship Type="http://schemas.openxmlformats.org/officeDocument/2006/relationships/hyperlink" Target="file:///D:/20_AUDIO/03_wav/individual/2023/SDRW2300001040/SDRW2300001040.1.1.298.wav" TargetMode="External" Id="rId36" /><Relationship Type="http://schemas.openxmlformats.org/officeDocument/2006/relationships/hyperlink" Target="file:///D:/mfa_common_pron/releases/common_pron_mfa_r2_20260728/03_review/researcher_review_bundle_20260729/wav/2025/SDRW2500002085/SDRW2500002085.1.1.100.wav" TargetMode="External" Id="rId37" /><Relationship Type="http://schemas.openxmlformats.org/officeDocument/2006/relationships/hyperlink" Target="file:///D:/20_AUDIO/03_wav/individual/2025/SDRW2500002085/SDRW2500002085.1.1.100.wav" TargetMode="External" Id="rId38" /><Relationship Type="http://schemas.openxmlformats.org/officeDocument/2006/relationships/hyperlink" Target="file:///D:/mfa_common_pron/releases/common_pron_mfa_r2_20260728/03_review/researcher_review_bundle_20260729/wav/2025/SARW2500000384/SARW2500000384.1.1.109.wav" TargetMode="External" Id="rId39" /><Relationship Type="http://schemas.openxmlformats.org/officeDocument/2006/relationships/hyperlink" Target="file:///D:/20_AUDIO/03_wav/individual/2025/SARW2500000384/SARW2500000384.1.1.109.wav" TargetMode="External" Id="rId40" /><Relationship Type="http://schemas.openxmlformats.org/officeDocument/2006/relationships/hyperlink" Target="file:///D:/mfa_common_pron/releases/common_pron_mfa_r2_20260728/03_review/researcher_review_bundle_20260729/wav/2025/SARW2500000384/SARW2500000384.1.1.155.wav" TargetMode="External" Id="rId41" /><Relationship Type="http://schemas.openxmlformats.org/officeDocument/2006/relationships/hyperlink" Target="file:///D:/20_AUDIO/03_wav/individual/2025/SARW2500000384/SARW2500000384.1.1.155.wav" TargetMode="External" Id="rId42" /><Relationship Type="http://schemas.openxmlformats.org/officeDocument/2006/relationships/hyperlink" Target="file:///D:/mfa_common_pron/releases/common_pron_mfa_r2_20260728/03_review/researcher_review_bundle_20260729/wav/2024/SDRW2400002478/SDRW2400002478.1.1.26.wav" TargetMode="External" Id="rId43" /><Relationship Type="http://schemas.openxmlformats.org/officeDocument/2006/relationships/hyperlink" Target="file:///D:/20_AUDIO/03_wav/individual/2024/SDRW2400002478/SDRW2400002478.1.1.26.wav" TargetMode="External" Id="rId44" /><Relationship Type="http://schemas.openxmlformats.org/officeDocument/2006/relationships/hyperlink" Target="file:///D:/mfa_common_pron/releases/common_pron_mfa_r2_20260728/03_review/researcher_review_bundle_20260729/wav/2025/SDRW2500002345/SDRW2500002345.1.1.153.wav" TargetMode="External" Id="rId45" /><Relationship Type="http://schemas.openxmlformats.org/officeDocument/2006/relationships/hyperlink" Target="file:///D:/20_AUDIO/03_wav/individual/2025/SDRW2500002345/SDRW2500002345.1.1.153.wav" TargetMode="External" Id="rId46" /><Relationship Type="http://schemas.openxmlformats.org/officeDocument/2006/relationships/hyperlink" Target="file:///D:/mfa_common_pron/releases/common_pron_mfa_r2_20260728/03_review/researcher_review_bundle_20260729/wav/2023/SDRW2300001040/SDRW2300001040.1.1.293.wav" TargetMode="External" Id="rId47" /><Relationship Type="http://schemas.openxmlformats.org/officeDocument/2006/relationships/hyperlink" Target="file:///D:/20_AUDIO/03_wav/individual/2023/SDRW2300001040/SDRW2300001040.1.1.293.wav" TargetMode="External" Id="rId48" /><Relationship Type="http://schemas.openxmlformats.org/officeDocument/2006/relationships/hyperlink" Target="file:///D:/mfa_common_pron/releases/common_pron_mfa_r2_20260728/03_review/researcher_review_bundle_20260729/wav/2020/SDRW2000000115/SDRW2000000115.1.1.191.wav" TargetMode="External" Id="rId49" /><Relationship Type="http://schemas.openxmlformats.org/officeDocument/2006/relationships/hyperlink" Target="file:///D:/20_AUDIO/03_wav/individual/2020/SDRW2000000115/SDRW2000000115.1.1.191.wav" TargetMode="External" Id="rId50" /><Relationship Type="http://schemas.openxmlformats.org/officeDocument/2006/relationships/hyperlink" Target="file:///D:/mfa_common_pron/releases/common_pron_mfa_r2_20260728/03_review/researcher_review_bundle_20260729/wav/2023/SDRW2300000212/SDRW2300000212.1.1.283.wav" TargetMode="External" Id="rId51" /><Relationship Type="http://schemas.openxmlformats.org/officeDocument/2006/relationships/hyperlink" Target="file:///D:/20_AUDIO/03_wav/individual/2023/SDRW2300000212/SDRW2300000212.1.1.283.wav" TargetMode="External" Id="rId52" /><Relationship Type="http://schemas.openxmlformats.org/officeDocument/2006/relationships/hyperlink" Target="file:///D:/mfa_common_pron/releases/common_pron_mfa_r2_20260728/03_review/researcher_review_bundle_20260729/wav/2025/SARW2500000384/SARW2500000384.1.1.122.wav" TargetMode="External" Id="rId53" /><Relationship Type="http://schemas.openxmlformats.org/officeDocument/2006/relationships/hyperlink" Target="file:///D:/20_AUDIO/03_wav/individual/2025/SARW2500000384/SARW2500000384.1.1.122.wav" TargetMode="External" Id="rId54" /><Relationship Type="http://schemas.openxmlformats.org/officeDocument/2006/relationships/hyperlink" Target="file:///D:/mfa_common_pron/releases/common_pron_mfa_r2_20260728/03_review/researcher_review_bundle_20260729/wav/2025/SARW2500000384/SARW2500000384.1.1.47.wav" TargetMode="External" Id="rId55" /><Relationship Type="http://schemas.openxmlformats.org/officeDocument/2006/relationships/hyperlink" Target="file:///D:/20_AUDIO/03_wav/individual/2025/SARW2500000384/SARW2500000384.1.1.47.wav" TargetMode="External" Id="rId56" /><Relationship Type="http://schemas.openxmlformats.org/officeDocument/2006/relationships/hyperlink" Target="file:///D:/mfa_common_pron/releases/common_pron_mfa_r2_20260728/03_review/researcher_review_bundle_20260729/wav/2021/SDRW2100002577/SDRW2100002577.1.1.124.wav" TargetMode="External" Id="rId57" /><Relationship Type="http://schemas.openxmlformats.org/officeDocument/2006/relationships/hyperlink" Target="file:///D:/20_AUDIO/03_wav/individual/2021/SDRW2100002577/SDRW2100002577.1.1.124.wav" TargetMode="External" Id="rId58" /><Relationship Type="http://schemas.openxmlformats.org/officeDocument/2006/relationships/hyperlink" Target="file:///D:/mfa_common_pron/releases/common_pron_mfa_r2_20260728/03_review/researcher_review_bundle_20260729/wav/2023/SDRW2300001040/SDRW2300001040.1.1.293.wav" TargetMode="External" Id="rId59" /><Relationship Type="http://schemas.openxmlformats.org/officeDocument/2006/relationships/hyperlink" Target="file:///D:/20_AUDIO/03_wav/individual/2023/SDRW2300001040/SDRW2300001040.1.1.293.wav" TargetMode="External" Id="rId60" /><Relationship Type="http://schemas.openxmlformats.org/officeDocument/2006/relationships/hyperlink" Target="file:///D:/mfa_common_pron/releases/common_pron_mfa_r2_20260728/03_review/researcher_review_bundle_20260729/wav/2025/SDRW2500002345/SDRW2500002345.1.1.153.wav" TargetMode="External" Id="rId61" /><Relationship Type="http://schemas.openxmlformats.org/officeDocument/2006/relationships/hyperlink" Target="file:///D:/20_AUDIO/03_wav/individual/2025/SDRW2500002345/SDRW2500002345.1.1.153.wav" TargetMode="External" Id="rId62" /><Relationship Type="http://schemas.openxmlformats.org/officeDocument/2006/relationships/table" Target="/xl/tables/table2.xml" Id="rId63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korean.go.kr/kornorms/regltn/regltnView.do?regltn_code=0002" TargetMode="External" Id="rId1" /><Relationship Type="http://schemas.openxmlformats.org/officeDocument/2006/relationships/hyperlink" Target="https://korean.go.kr/kornorms/regltn/regltnView.do?regltn_code=0002" TargetMode="External" Id="rId2" /><Relationship Type="http://schemas.openxmlformats.org/officeDocument/2006/relationships/hyperlink" Target="https://korean.go.kr/kornorms/regltn/regltnView.do?regltn_code=0002" TargetMode="External" Id="rId3" /><Relationship Type="http://schemas.openxmlformats.org/officeDocument/2006/relationships/hyperlink" Target="https://www.korean.go.kr/front/onlineQna/onlineQnaView.do?mn_id=216&amp;pageIndex=1&amp;qna_seq=324494" TargetMode="External" Id="rId4" /><Relationship Type="http://schemas.openxmlformats.org/officeDocument/2006/relationships/hyperlink" Target="https://krdict.korean.go.kr/eng/dicMarinerSearch/search?mainSearchWord=%EC%B9%A0&amp;nation=eng" TargetMode="External" Id="rId5" /><Relationship Type="http://schemas.openxmlformats.org/officeDocument/2006/relationships/hyperlink" Target="https://www.korean.go.kr/front/onlineQna/onlineQnaView.do?mn_id=216&amp;pageIndex=1&amp;qna_seq=278421" TargetMode="External" Id="rId6" /><Relationship Type="http://schemas.openxmlformats.org/officeDocument/2006/relationships/hyperlink" Target="https://www.korean.go.kr/front/onlineQna/onlineQnaView.do?mn_id=216&amp;pageIndex=1&amp;qna_seq=329993" TargetMode="External" Id="rId7" /><Relationship Type="http://schemas.openxmlformats.org/officeDocument/2006/relationships/hyperlink" Target="file:///D:/00_RAW/reference/03_lexicon_1%EA%B8%B0/01_NIKL_lexicon_full.csv" TargetMode="External" Id="rId8" /><Relationship Type="http://schemas.openxmlformats.org/officeDocument/2006/relationships/table" Target="/xl/tables/table4.xml" Id="rId9" /><Relationship Type="http://schemas.openxmlformats.org/officeDocument/2006/relationships/table" Target="/xl/tables/table5.xml" Id="rId10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1" customWidth="1" min="3" max="3"/>
    <col width="13" customWidth="1" min="4" max="4"/>
    <col width="11" customWidth="1" min="5" max="5"/>
    <col width="13" customWidth="1" min="6" max="6"/>
    <col width="11" customWidth="1" min="7" max="7"/>
    <col width="13" customWidth="1" min="8" max="8"/>
  </cols>
  <sheetData>
    <row r="1" ht="32" customHeight="1">
      <c r="A1" s="1" t="inlineStr">
        <is>
          <t>공통발음사전 MFA r2 — 연구자 승인 검토표</t>
        </is>
      </c>
    </row>
    <row r="3" ht="38" customHeight="1">
      <c r="A3" s="2" t="inlineStr">
        <is>
          <t>목적</t>
        </is>
      </c>
      <c r="B3" s="3" t="inlineStr">
        <is>
          <t>동결 acoustic v3.3.0 / Jamo G2P v3.2.0의 phone 체계를 바꾸지 않고, 자동 생성이 불가능하거나 잘못된 27개 표층형만 명시적으로 승인한다.</t>
        </is>
      </c>
    </row>
    <row r="4" ht="38" customHeight="1">
      <c r="A4" s="2" t="inlineStr">
        <is>
          <t>중요</t>
        </is>
      </c>
      <c r="B4" s="3" t="inlineStr">
        <is>
          <t>이 파일은 승인 인터페이스일 뿐이다. 노란 셀의 결정만 연구자가 입력하며, 파일을 저장해도 사전이나 shard는 자동으로 변경되지 않는다.</t>
        </is>
      </c>
    </row>
    <row r="6">
      <c r="A6" s="4" t="inlineStr">
        <is>
          <t>전체 검토</t>
        </is>
      </c>
      <c r="B6" s="5">
        <f>COUNTA('발음검토'!$C$2:$C$28)</f>
        <v/>
      </c>
      <c r="C6" s="4" t="inlineStr">
        <is>
          <t>기록 가능</t>
        </is>
      </c>
      <c r="D6" s="5">
        <f>COUNTIF('발음검토'!$V$2:$V$28,"ready_to_record")</f>
        <v/>
      </c>
      <c r="E6" s="4" t="inlineStr">
        <is>
          <t>대기</t>
        </is>
      </c>
      <c r="F6" s="5">
        <f>COUNTIF('발음검토'!$V$2:$V$28,"pending")</f>
        <v/>
      </c>
      <c r="G6" s="4" t="inlineStr">
        <is>
          <t>보류/기각</t>
        </is>
      </c>
      <c r="H6" s="5">
        <f>COUNTIF('발음검토'!$V$2:$V$28,"hold")+COUNTIF('발음검토'!$V$2:$V$28,"reject")</f>
        <v/>
      </c>
    </row>
    <row r="9" ht="32" customHeight="1">
      <c r="A9" s="6" t="inlineStr">
        <is>
          <t>1</t>
        </is>
      </c>
      <c r="B9" s="7" t="inlineStr">
        <is>
          <t>발음검토 시트에서 파란 WAV 링크를 눌러 필요한 항목을 듣는다.</t>
        </is>
      </c>
    </row>
    <row r="10" ht="32" customHeight="1">
      <c r="A10" s="6" t="inlineStr">
        <is>
          <t>2</t>
        </is>
      </c>
      <c r="B10" s="7" t="inlineStr">
        <is>
          <t>R열 decision을 선택한다. 권고 승인/대안 승인/직접 승인/보류/기각 중 하나다.</t>
        </is>
      </c>
    </row>
    <row r="11" ht="32" customHeight="1">
      <c r="A11" s="6" t="inlineStr">
        <is>
          <t>3</t>
        </is>
      </c>
      <c r="B11" s="7" t="inlineStr">
        <is>
          <t>직접 승인일 때만 S열에 정확한 MFA phone 열을 입력한다.</t>
        </is>
      </c>
    </row>
    <row r="12" ht="32" customHeight="1">
      <c r="A12" s="6" t="inlineStr">
        <is>
          <t>4</t>
        </is>
      </c>
      <c r="B12" s="7" t="inlineStr">
        <is>
          <t>U열 notes에 청취·판단 근거를 적는다. T열과 V열은 수식이므로 수정하지 않는다.</t>
        </is>
      </c>
    </row>
    <row r="13" ht="32" customHeight="1">
      <c r="A13" s="6" t="inlineStr">
        <is>
          <t>5</t>
        </is>
      </c>
      <c r="B13" s="7" t="inlineStr">
        <is>
          <t>외곬수적인·천구백칤비육은 발음 승인과 별도로 원표기 보존형 correction registry를 생성해야 한다.</t>
        </is>
      </c>
    </row>
  </sheetData>
  <mergeCells count="6">
    <mergeCell ref="A1:H1"/>
    <mergeCell ref="B9:H9"/>
    <mergeCell ref="B13:H13"/>
    <mergeCell ref="B12:H12"/>
    <mergeCell ref="B10:H10"/>
    <mergeCell ref="B11:H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2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5" customWidth="1" min="3" max="3"/>
    <col width="11" customWidth="1" min="4" max="4"/>
    <col width="12" customWidth="1" min="5" max="5"/>
    <col width="18" customWidth="1" min="6" max="6"/>
    <col width="34" customWidth="1" min="7" max="7"/>
    <col width="20" customWidth="1" min="8" max="8"/>
    <col width="34" customWidth="1" min="9" max="9"/>
    <col width="20" customWidth="1" min="10" max="10"/>
    <col width="34" customWidth="1" min="11" max="11"/>
    <col width="28" customWidth="1" min="12" max="12"/>
    <col width="11" customWidth="1" min="13" max="13"/>
    <col width="52" customWidth="1" min="14" max="14"/>
    <col width="18" customWidth="1" min="15" max="15"/>
    <col width="28" customWidth="1" min="16" max="16"/>
    <col width="15" customWidth="1" min="17" max="17"/>
    <col width="25" customWidth="1" min="18" max="18"/>
    <col width="34" customWidth="1" min="19" max="19"/>
    <col width="34" customWidth="1" min="20" max="20"/>
    <col width="36" customWidth="1" min="21" max="21"/>
    <col width="19" customWidth="1" min="22" max="22"/>
    <col width="36" customWidth="1" min="23" max="23"/>
    <col width="48" customWidth="1" min="24" max="24"/>
  </cols>
  <sheetData>
    <row r="1" ht="34" customHeight="1">
      <c r="A1" s="8" t="inlineStr">
        <is>
          <t>review_order</t>
        </is>
      </c>
      <c r="B1" s="8" t="inlineStr">
        <is>
          <t>category</t>
        </is>
      </c>
      <c r="C1" s="8" t="inlineStr">
        <is>
          <t>token</t>
        </is>
      </c>
      <c r="D1" s="8" t="inlineStr">
        <is>
          <t>occurrences</t>
        </is>
      </c>
      <c r="E1" s="8" t="inlineStr">
        <is>
          <t>years</t>
        </is>
      </c>
      <c r="F1" s="8" t="inlineStr">
        <is>
          <t>model_input</t>
        </is>
      </c>
      <c r="G1" s="8" t="inlineStr">
        <is>
          <t>model_candidate_phone</t>
        </is>
      </c>
      <c r="H1" s="8" t="inlineStr">
        <is>
          <t>recommended_hangul</t>
        </is>
      </c>
      <c r="I1" s="8" t="inlineStr">
        <is>
          <t>recommended_phone</t>
        </is>
      </c>
      <c r="J1" s="8" t="inlineStr">
        <is>
          <t>alternative_hangul</t>
        </is>
      </c>
      <c r="K1" s="8" t="inlineStr">
        <is>
          <t>alternative_phone</t>
        </is>
      </c>
      <c r="L1" s="8" t="inlineStr">
        <is>
          <t>recommendation_action</t>
        </is>
      </c>
      <c r="M1" s="8" t="inlineStr">
        <is>
          <t>confidence</t>
        </is>
      </c>
      <c r="N1" s="8" t="inlineStr">
        <is>
          <t>reason</t>
        </is>
      </c>
      <c r="O1" s="8" t="inlineStr">
        <is>
          <t>source_url</t>
        </is>
      </c>
      <c r="P1" s="8" t="inlineStr">
        <is>
          <t>example_utt_id</t>
        </is>
      </c>
      <c r="Q1" s="8" t="inlineStr">
        <is>
          <t>review_wav</t>
        </is>
      </c>
      <c r="R1" s="8" t="inlineStr">
        <is>
          <t>researcher_decision</t>
        </is>
      </c>
      <c r="S1" s="8" t="inlineStr">
        <is>
          <t>researcher_custom_phone</t>
        </is>
      </c>
      <c r="T1" s="8" t="inlineStr">
        <is>
          <t>selected_approved_phone</t>
        </is>
      </c>
      <c r="U1" s="8" t="inlineStr">
        <is>
          <t>researcher_notes</t>
        </is>
      </c>
      <c r="V1" s="8" t="inlineStr">
        <is>
          <t>validation_status</t>
        </is>
      </c>
      <c r="W1" s="8" t="inlineStr">
        <is>
          <t>source_handling</t>
        </is>
      </c>
      <c r="X1" s="8" t="inlineStr">
        <is>
          <t>implementation_note</t>
        </is>
      </c>
    </row>
    <row r="2" ht="58" customHeight="1">
      <c r="A2" s="9" t="n">
        <v>1</v>
      </c>
      <c r="B2" s="9" t="inlineStr">
        <is>
          <t>no_path</t>
        </is>
      </c>
      <c r="C2" s="9" t="inlineStr">
        <is>
          <t>읊고</t>
        </is>
      </c>
      <c r="D2" s="9" t="n">
        <v>1</v>
      </c>
      <c r="E2" s="9" t="inlineStr">
        <is>
          <t>2023</t>
        </is>
      </c>
      <c r="F2" s="9" t="inlineStr">
        <is>
          <t>읍꼬</t>
        </is>
      </c>
      <c r="G2" s="9" t="inlineStr">
        <is>
          <t>ɨː m k͈ o</t>
        </is>
      </c>
      <c r="H2" s="9" t="inlineStr">
        <is>
          <t>읍꼬</t>
        </is>
      </c>
      <c r="I2" s="9" t="inlineStr">
        <is>
          <t>ɨ p̚ k͈ o</t>
        </is>
      </c>
      <c r="J2" s="9" t="inlineStr"/>
      <c r="K2" s="9" t="inlineStr"/>
      <c r="L2" s="9" t="inlineStr">
        <is>
          <t>manual_phone_override</t>
        </is>
      </c>
      <c r="M2" s="9" t="inlineStr">
        <is>
          <t>high</t>
        </is>
      </c>
      <c r="N2" s="9" t="inlineStr">
        <is>
          <t>표준 발음법 제11항이 읊고[읍꼬]를 직접 제시한다. 동결 G2P의 재철자 읍꼬 후보는 ɨː m k͈ o로 잘못되어, 같은 acoustic inventory의 ɨ p̚ k͈ o를 별도 승인해야 한다.</t>
        </is>
      </c>
      <c r="O2" s="10" t="inlineStr">
        <is>
          <t>공식/사전 근거 열기</t>
        </is>
      </c>
      <c r="P2" s="9" t="inlineStr">
        <is>
          <t>SDRW2300000205.1.1.80</t>
        </is>
      </c>
      <c r="Q2" s="10" t="inlineStr">
        <is>
          <t>WAV 듣기</t>
        </is>
      </c>
      <c r="R2" s="11" t="inlineStr">
        <is>
          <t>pending</t>
        </is>
      </c>
      <c r="S2" s="11" t="inlineStr"/>
      <c r="T2" s="12">
        <f>IF(R2="approve_recommended",I2,IF(R2="approve_alternative",K2,IF(R2="approve_custom",S2,"")))</f>
        <v/>
      </c>
      <c r="U2" s="11" t="inlineStr"/>
      <c r="V2" s="12">
        <f>IF(OR(R2="hold",R2="reject"),R2,IF(R2="pending","pending",IF(T2="","phone_required","ready_to_record")))</f>
        <v/>
      </c>
      <c r="W2" s="9" t="inlineStr">
        <is>
          <t>phonological_exception</t>
        </is>
      </c>
      <c r="X2" s="9" t="inlineStr">
        <is>
          <t>후보는 보존하고 approved phone만 다르게 기록; 기존 모델 출력 대체 없음</t>
        </is>
      </c>
    </row>
    <row r="3" ht="58" customHeight="1">
      <c r="A3" s="9" t="n">
        <v>2</v>
      </c>
      <c r="B3" s="9" t="inlineStr">
        <is>
          <t>no_path</t>
        </is>
      </c>
      <c r="C3" s="9" t="inlineStr">
        <is>
          <t>읊는</t>
        </is>
      </c>
      <c r="D3" s="9" t="n">
        <v>2</v>
      </c>
      <c r="E3" s="9" t="inlineStr">
        <is>
          <t>2022,2023</t>
        </is>
      </c>
      <c r="F3" s="9" t="inlineStr">
        <is>
          <t>음는</t>
        </is>
      </c>
      <c r="G3" s="9" t="inlineStr">
        <is>
          <t>ɨ m n ɨ n</t>
        </is>
      </c>
      <c r="H3" s="9" t="inlineStr">
        <is>
          <t>음는</t>
        </is>
      </c>
      <c r="I3" s="9" t="inlineStr">
        <is>
          <t>ɨ m n ɨ n</t>
        </is>
      </c>
      <c r="J3" s="9" t="inlineStr"/>
      <c r="K3" s="9" t="inlineStr"/>
      <c r="L3" s="9" t="inlineStr">
        <is>
          <t>accept_model_candidate</t>
        </is>
      </c>
      <c r="M3" s="9" t="inlineStr">
        <is>
          <t>high</t>
        </is>
      </c>
      <c r="N3" s="9" t="inlineStr">
        <is>
          <t>표준 발음법 제18항은 읊는[음는]을 직접 제시한다. 동일 활용 환경의 모델 후보를 권고한다.</t>
        </is>
      </c>
      <c r="O3" s="10" t="inlineStr">
        <is>
          <t>공식/사전 근거 열기</t>
        </is>
      </c>
      <c r="P3" s="9" t="inlineStr">
        <is>
          <t>SDRW2200001192.1.1.182</t>
        </is>
      </c>
      <c r="Q3" s="10" t="inlineStr">
        <is>
          <t>WAV 듣기</t>
        </is>
      </c>
      <c r="R3" s="11" t="inlineStr">
        <is>
          <t>pending</t>
        </is>
      </c>
      <c r="S3" s="11" t="inlineStr"/>
      <c r="T3" s="12">
        <f>IF(R3="approve_recommended",I3,IF(R3="approve_alternative",K3,IF(R3="approve_custom",S3,"")))</f>
        <v/>
      </c>
      <c r="U3" s="11" t="inlineStr"/>
      <c r="V3" s="12">
        <f>IF(OR(R3="hold",R3="reject"),R3,IF(R3="pending","pending",IF(T3="","phone_required","ready_to_record")))</f>
        <v/>
      </c>
      <c r="W3" s="9" t="inlineStr">
        <is>
          <t>phonological_exception</t>
        </is>
      </c>
      <c r="X3" s="9" t="inlineStr">
        <is>
          <t>연구자 승인 후 same-model fallback으로 누락 표층키만 추가</t>
        </is>
      </c>
    </row>
    <row r="4" ht="58" customHeight="1">
      <c r="A4" s="9" t="n">
        <v>3</v>
      </c>
      <c r="B4" s="9" t="inlineStr">
        <is>
          <t>no_path</t>
        </is>
      </c>
      <c r="C4" s="9" t="inlineStr">
        <is>
          <t>읊는다고</t>
        </is>
      </c>
      <c r="D4" s="9" t="n">
        <v>1</v>
      </c>
      <c r="E4" s="9" t="inlineStr">
        <is>
          <t>2024</t>
        </is>
      </c>
      <c r="F4" s="9" t="inlineStr">
        <is>
          <t>음는다고</t>
        </is>
      </c>
      <c r="G4" s="9" t="inlineStr">
        <is>
          <t>ɨ m n ɨ n d ɐ ɡ o</t>
        </is>
      </c>
      <c r="H4" s="9" t="inlineStr">
        <is>
          <t>음는다고</t>
        </is>
      </c>
      <c r="I4" s="9" t="inlineStr">
        <is>
          <t>ɨ m n ɨ n d ɐ ɡ o</t>
        </is>
      </c>
      <c r="J4" s="9" t="inlineStr"/>
      <c r="K4" s="9" t="inlineStr"/>
      <c r="L4" s="9" t="inlineStr">
        <is>
          <t>accept_model_candidate</t>
        </is>
      </c>
      <c r="M4" s="9" t="inlineStr">
        <is>
          <t>high</t>
        </is>
      </c>
      <c r="N4" s="9" t="inlineStr">
        <is>
          <t>표준 발음법 제18항은 읊는[음는]을 직접 제시한다. 동일 활용 환경의 모델 후보를 권고한다.</t>
        </is>
      </c>
      <c r="O4" s="10" t="inlineStr">
        <is>
          <t>공식/사전 근거 열기</t>
        </is>
      </c>
      <c r="P4" s="9" t="inlineStr">
        <is>
          <t>SDRW2400000652.1.1.50</t>
        </is>
      </c>
      <c r="Q4" s="10" t="inlineStr">
        <is>
          <t>WAV 듣기</t>
        </is>
      </c>
      <c r="R4" s="11" t="inlineStr">
        <is>
          <t>pending</t>
        </is>
      </c>
      <c r="S4" s="11" t="inlineStr"/>
      <c r="T4" s="12">
        <f>IF(R4="approve_recommended",I4,IF(R4="approve_alternative",K4,IF(R4="approve_custom",S4,"")))</f>
        <v/>
      </c>
      <c r="U4" s="11" t="inlineStr"/>
      <c r="V4" s="12">
        <f>IF(OR(R4="hold",R4="reject"),R4,IF(R4="pending","pending",IF(T4="","phone_required","ready_to_record")))</f>
        <v/>
      </c>
      <c r="W4" s="9" t="inlineStr">
        <is>
          <t>phonological_exception</t>
        </is>
      </c>
      <c r="X4" s="9" t="inlineStr">
        <is>
          <t>연구자 승인 후 same-model fallback으로 누락 표층키만 추가</t>
        </is>
      </c>
    </row>
    <row r="5" ht="58" customHeight="1">
      <c r="A5" s="9" t="n">
        <v>4</v>
      </c>
      <c r="B5" s="9" t="inlineStr">
        <is>
          <t>no_path</t>
        </is>
      </c>
      <c r="C5" s="9" t="inlineStr">
        <is>
          <t>읊는다는</t>
        </is>
      </c>
      <c r="D5" s="9" t="n">
        <v>1</v>
      </c>
      <c r="E5" s="9" t="inlineStr">
        <is>
          <t>2021</t>
        </is>
      </c>
      <c r="F5" s="9" t="inlineStr">
        <is>
          <t>음는다는</t>
        </is>
      </c>
      <c r="G5" s="9" t="inlineStr">
        <is>
          <t>ɨ m n ɨ n d ɐ n ɨ n</t>
        </is>
      </c>
      <c r="H5" s="9" t="inlineStr">
        <is>
          <t>음는다는</t>
        </is>
      </c>
      <c r="I5" s="9" t="inlineStr">
        <is>
          <t>ɨ m n ɨ n d ɐ n ɨ n</t>
        </is>
      </c>
      <c r="J5" s="9" t="inlineStr"/>
      <c r="K5" s="9" t="inlineStr"/>
      <c r="L5" s="9" t="inlineStr">
        <is>
          <t>accept_model_candidate</t>
        </is>
      </c>
      <c r="M5" s="9" t="inlineStr">
        <is>
          <t>high</t>
        </is>
      </c>
      <c r="N5" s="9" t="inlineStr">
        <is>
          <t>표준 발음법 제18항은 읊는[음는]을 직접 제시한다. 동일 활용 환경의 모델 후보를 권고한다.</t>
        </is>
      </c>
      <c r="O5" s="10" t="inlineStr">
        <is>
          <t>공식/사전 근거 열기</t>
        </is>
      </c>
      <c r="P5" s="9" t="inlineStr">
        <is>
          <t>SDRW2100004088.1.1.138</t>
        </is>
      </c>
      <c r="Q5" s="10" t="inlineStr">
        <is>
          <t>WAV 듣기</t>
        </is>
      </c>
      <c r="R5" s="11" t="inlineStr">
        <is>
          <t>pending</t>
        </is>
      </c>
      <c r="S5" s="11" t="inlineStr"/>
      <c r="T5" s="12">
        <f>IF(R5="approve_recommended",I5,IF(R5="approve_alternative",K5,IF(R5="approve_custom",S5,"")))</f>
        <v/>
      </c>
      <c r="U5" s="11" t="inlineStr"/>
      <c r="V5" s="12">
        <f>IF(OR(R5="hold",R5="reject"),R5,IF(R5="pending","pending",IF(T5="","phone_required","ready_to_record")))</f>
        <v/>
      </c>
      <c r="W5" s="9" t="inlineStr">
        <is>
          <t>phonological_exception</t>
        </is>
      </c>
      <c r="X5" s="9" t="inlineStr">
        <is>
          <t>연구자 승인 후 same-model fallback으로 누락 표층키만 추가</t>
        </is>
      </c>
    </row>
    <row r="6" ht="58" customHeight="1">
      <c r="A6" s="9" t="n">
        <v>5</v>
      </c>
      <c r="B6" s="9" t="inlineStr">
        <is>
          <t>no_path</t>
        </is>
      </c>
      <c r="C6" s="9" t="inlineStr">
        <is>
          <t>읊는다잖아요</t>
        </is>
      </c>
      <c r="D6" s="9" t="n">
        <v>1</v>
      </c>
      <c r="E6" s="9" t="inlineStr">
        <is>
          <t>2023</t>
        </is>
      </c>
      <c r="F6" s="9" t="inlineStr">
        <is>
          <t>음는다자나요</t>
        </is>
      </c>
      <c r="G6" s="9" t="inlineStr">
        <is>
          <t>ɨ m n ɨ n d ɐ dʑ ɐ n ɐ j o</t>
        </is>
      </c>
      <c r="H6" s="9" t="inlineStr">
        <is>
          <t>음는다자나요</t>
        </is>
      </c>
      <c r="I6" s="9" t="inlineStr">
        <is>
          <t>ɨ m n ɨ n d ɐ dʑ ɐ n ɐ j o</t>
        </is>
      </c>
      <c r="J6" s="9" t="inlineStr"/>
      <c r="K6" s="9" t="inlineStr"/>
      <c r="L6" s="9" t="inlineStr">
        <is>
          <t>accept_model_candidate</t>
        </is>
      </c>
      <c r="M6" s="9" t="inlineStr">
        <is>
          <t>high</t>
        </is>
      </c>
      <c r="N6" s="9" t="inlineStr">
        <is>
          <t>표준 발음법 제18항은 읊는[음는]을 직접 제시한다. 동일 활용 환경의 모델 후보를 권고한다.</t>
        </is>
      </c>
      <c r="O6" s="10" t="inlineStr">
        <is>
          <t>공식/사전 근거 열기</t>
        </is>
      </c>
      <c r="P6" s="9" t="inlineStr">
        <is>
          <t>SDRW2300000337.1.1.142</t>
        </is>
      </c>
      <c r="Q6" s="10" t="inlineStr">
        <is>
          <t>WAV 듣기</t>
        </is>
      </c>
      <c r="R6" s="11" t="inlineStr">
        <is>
          <t>pending</t>
        </is>
      </c>
      <c r="S6" s="11" t="inlineStr"/>
      <c r="T6" s="12">
        <f>IF(R6="approve_recommended",I6,IF(R6="approve_alternative",K6,IF(R6="approve_custom",S6,"")))</f>
        <v/>
      </c>
      <c r="U6" s="11" t="inlineStr"/>
      <c r="V6" s="12">
        <f>IF(OR(R6="hold",R6="reject"),R6,IF(R6="pending","pending",IF(T6="","phone_required","ready_to_record")))</f>
        <v/>
      </c>
      <c r="W6" s="9" t="inlineStr">
        <is>
          <t>phonological_exception</t>
        </is>
      </c>
      <c r="X6" s="9" t="inlineStr">
        <is>
          <t>연구자 승인 후 same-model fallback으로 누락 표층키만 추가</t>
        </is>
      </c>
    </row>
    <row r="7" ht="58" customHeight="1">
      <c r="A7" s="9" t="n">
        <v>6</v>
      </c>
      <c r="B7" s="9" t="inlineStr">
        <is>
          <t>no_path</t>
        </is>
      </c>
      <c r="C7" s="9" t="inlineStr">
        <is>
          <t>읊어놓고</t>
        </is>
      </c>
      <c r="D7" s="9" t="n">
        <v>1</v>
      </c>
      <c r="E7" s="9" t="inlineStr">
        <is>
          <t>2020</t>
        </is>
      </c>
      <c r="F7" s="9" t="inlineStr">
        <is>
          <t>을퍼노코</t>
        </is>
      </c>
      <c r="G7" s="9" t="inlineStr">
        <is>
          <t>ɨ ɭ pʰ ʌ n o kʰ o</t>
        </is>
      </c>
      <c r="H7" s="9" t="inlineStr">
        <is>
          <t>을퍼노코</t>
        </is>
      </c>
      <c r="I7" s="9" t="inlineStr">
        <is>
          <t>ɨ ɭ pʰ ʌ n o kʰ o</t>
        </is>
      </c>
      <c r="J7" s="9" t="inlineStr"/>
      <c r="K7" s="9" t="inlineStr"/>
      <c r="L7" s="9" t="inlineStr">
        <is>
          <t>accept_model_candidate</t>
        </is>
      </c>
      <c r="M7" s="9" t="inlineStr">
        <is>
          <t>high</t>
        </is>
      </c>
      <c r="N7" s="9" t="inlineStr">
        <is>
          <t>표준 발음법 제14항의 읊어[을퍼] 연음과 동일한 활용 환경이며, 동결 모델 후보를 그대로 권고한다.</t>
        </is>
      </c>
      <c r="O7" s="10" t="inlineStr">
        <is>
          <t>공식/사전 근거 열기</t>
        </is>
      </c>
      <c r="P7" s="9" t="inlineStr">
        <is>
          <t>SDRW2000002214.1.1.232</t>
        </is>
      </c>
      <c r="Q7" s="10" t="inlineStr">
        <is>
          <t>WAV 듣기</t>
        </is>
      </c>
      <c r="R7" s="11" t="inlineStr">
        <is>
          <t>pending</t>
        </is>
      </c>
      <c r="S7" s="11" t="inlineStr"/>
      <c r="T7" s="12">
        <f>IF(R7="approve_recommended",I7,IF(R7="approve_alternative",K7,IF(R7="approve_custom",S7,"")))</f>
        <v/>
      </c>
      <c r="U7" s="11" t="inlineStr"/>
      <c r="V7" s="12">
        <f>IF(OR(R7="hold",R7="reject"),R7,IF(R7="pending","pending",IF(T7="","phone_required","ready_to_record")))</f>
        <v/>
      </c>
      <c r="W7" s="9" t="inlineStr">
        <is>
          <t>phonological_exception</t>
        </is>
      </c>
      <c r="X7" s="9" t="inlineStr">
        <is>
          <t>연구자 승인 후 same-model fallback으로 누락 표층키만 추가</t>
        </is>
      </c>
    </row>
    <row r="8" ht="58" customHeight="1">
      <c r="A8" s="9" t="n">
        <v>7</v>
      </c>
      <c r="B8" s="9" t="inlineStr">
        <is>
          <t>no_path</t>
        </is>
      </c>
      <c r="C8" s="9" t="inlineStr">
        <is>
          <t>읊어보라고</t>
        </is>
      </c>
      <c r="D8" s="9" t="n">
        <v>1</v>
      </c>
      <c r="E8" s="9" t="inlineStr">
        <is>
          <t>2020</t>
        </is>
      </c>
      <c r="F8" s="9" t="inlineStr">
        <is>
          <t>을퍼보라고</t>
        </is>
      </c>
      <c r="G8" s="9" t="inlineStr">
        <is>
          <t>ɨ ɭ pʰ ʌ b o ɾ ɐ ɡ o</t>
        </is>
      </c>
      <c r="H8" s="9" t="inlineStr">
        <is>
          <t>을퍼보라고</t>
        </is>
      </c>
      <c r="I8" s="9" t="inlineStr">
        <is>
          <t>ɨ ɭ pʰ ʌ b o ɾ ɐ ɡ o</t>
        </is>
      </c>
      <c r="J8" s="9" t="inlineStr"/>
      <c r="K8" s="9" t="inlineStr"/>
      <c r="L8" s="9" t="inlineStr">
        <is>
          <t>accept_model_candidate</t>
        </is>
      </c>
      <c r="M8" s="9" t="inlineStr">
        <is>
          <t>high</t>
        </is>
      </c>
      <c r="N8" s="9" t="inlineStr">
        <is>
          <t>표준 발음법 제14항의 읊어[을퍼] 연음과 동일한 활용 환경이며, 동결 모델 후보를 그대로 권고한다.</t>
        </is>
      </c>
      <c r="O8" s="10" t="inlineStr">
        <is>
          <t>공식/사전 근거 열기</t>
        </is>
      </c>
      <c r="P8" s="9" t="inlineStr">
        <is>
          <t>SDRW2000001801.1.1.66</t>
        </is>
      </c>
      <c r="Q8" s="10" t="inlineStr">
        <is>
          <t>WAV 듣기</t>
        </is>
      </c>
      <c r="R8" s="11" t="inlineStr">
        <is>
          <t>pending</t>
        </is>
      </c>
      <c r="S8" s="11" t="inlineStr"/>
      <c r="T8" s="12">
        <f>IF(R8="approve_recommended",I8,IF(R8="approve_alternative",K8,IF(R8="approve_custom",S8,"")))</f>
        <v/>
      </c>
      <c r="U8" s="11" t="inlineStr"/>
      <c r="V8" s="12">
        <f>IF(OR(R8="hold",R8="reject"),R8,IF(R8="pending","pending",IF(T8="","phone_required","ready_to_record")))</f>
        <v/>
      </c>
      <c r="W8" s="9" t="inlineStr">
        <is>
          <t>phonological_exception</t>
        </is>
      </c>
      <c r="X8" s="9" t="inlineStr">
        <is>
          <t>연구자 승인 후 same-model fallback으로 누락 표층키만 추가</t>
        </is>
      </c>
    </row>
    <row r="9" ht="58" customHeight="1">
      <c r="A9" s="9" t="n">
        <v>8</v>
      </c>
      <c r="B9" s="9" t="inlineStr">
        <is>
          <t>no_path</t>
        </is>
      </c>
      <c r="C9" s="9" t="inlineStr">
        <is>
          <t>읊어봐</t>
        </is>
      </c>
      <c r="D9" s="9" t="n">
        <v>1</v>
      </c>
      <c r="E9" s="9" t="inlineStr">
        <is>
          <t>2021</t>
        </is>
      </c>
      <c r="F9" s="9" t="inlineStr">
        <is>
          <t>을퍼봐</t>
        </is>
      </c>
      <c r="G9" s="9" t="inlineStr">
        <is>
          <t>ɨ ɭ pʰ ʌ bʷ ɐ</t>
        </is>
      </c>
      <c r="H9" s="9" t="inlineStr">
        <is>
          <t>을퍼봐</t>
        </is>
      </c>
      <c r="I9" s="9" t="inlineStr">
        <is>
          <t>ɨ ɭ pʰ ʌ bʷ ɐ</t>
        </is>
      </c>
      <c r="J9" s="9" t="inlineStr"/>
      <c r="K9" s="9" t="inlineStr"/>
      <c r="L9" s="9" t="inlineStr">
        <is>
          <t>accept_model_candidate</t>
        </is>
      </c>
      <c r="M9" s="9" t="inlineStr">
        <is>
          <t>high</t>
        </is>
      </c>
      <c r="N9" s="9" t="inlineStr">
        <is>
          <t>표준 발음법 제14항의 읊어[을퍼] 연음과 동일한 활용 환경이며, 동결 모델 후보를 그대로 권고한다.</t>
        </is>
      </c>
      <c r="O9" s="10" t="inlineStr">
        <is>
          <t>공식/사전 근거 열기</t>
        </is>
      </c>
      <c r="P9" s="9" t="inlineStr">
        <is>
          <t>SDRW2100001599.1.1.59</t>
        </is>
      </c>
      <c r="Q9" s="10" t="inlineStr">
        <is>
          <t>WAV 듣기</t>
        </is>
      </c>
      <c r="R9" s="11" t="inlineStr">
        <is>
          <t>pending</t>
        </is>
      </c>
      <c r="S9" s="11" t="inlineStr"/>
      <c r="T9" s="12">
        <f>IF(R9="approve_recommended",I9,IF(R9="approve_alternative",K9,IF(R9="approve_custom",S9,"")))</f>
        <v/>
      </c>
      <c r="U9" s="11" t="inlineStr"/>
      <c r="V9" s="12">
        <f>IF(OR(R9="hold",R9="reject"),R9,IF(R9="pending","pending",IF(T9="","phone_required","ready_to_record")))</f>
        <v/>
      </c>
      <c r="W9" s="9" t="inlineStr">
        <is>
          <t>phonological_exception</t>
        </is>
      </c>
      <c r="X9" s="9" t="inlineStr">
        <is>
          <t>연구자 승인 후 same-model fallback으로 누락 표층키만 추가</t>
        </is>
      </c>
    </row>
    <row r="10" ht="58" customHeight="1">
      <c r="A10" s="9" t="n">
        <v>9</v>
      </c>
      <c r="B10" s="9" t="inlineStr">
        <is>
          <t>no_path</t>
        </is>
      </c>
      <c r="C10" s="9" t="inlineStr">
        <is>
          <t>읊어서</t>
        </is>
      </c>
      <c r="D10" s="9" t="n">
        <v>1</v>
      </c>
      <c r="E10" s="9" t="inlineStr">
        <is>
          <t>2024</t>
        </is>
      </c>
      <c r="F10" s="9" t="inlineStr">
        <is>
          <t>을퍼서</t>
        </is>
      </c>
      <c r="G10" s="9" t="inlineStr">
        <is>
          <t>ɨ ɭ pʰ ʌ sʰ ʌ</t>
        </is>
      </c>
      <c r="H10" s="9" t="inlineStr">
        <is>
          <t>을퍼서</t>
        </is>
      </c>
      <c r="I10" s="9" t="inlineStr">
        <is>
          <t>ɨ ɭ pʰ ʌ sʰ ʌ</t>
        </is>
      </c>
      <c r="J10" s="9" t="inlineStr"/>
      <c r="K10" s="9" t="inlineStr"/>
      <c r="L10" s="9" t="inlineStr">
        <is>
          <t>accept_model_candidate</t>
        </is>
      </c>
      <c r="M10" s="9" t="inlineStr">
        <is>
          <t>high</t>
        </is>
      </c>
      <c r="N10" s="9" t="inlineStr">
        <is>
          <t>표준 발음법 제14항의 읊어[을퍼] 연음과 동일한 활용 환경이며, 동결 모델 후보를 그대로 권고한다.</t>
        </is>
      </c>
      <c r="O10" s="10" t="inlineStr">
        <is>
          <t>공식/사전 근거 열기</t>
        </is>
      </c>
      <c r="P10" s="9" t="inlineStr">
        <is>
          <t>SDRW2400001199.1.1.58</t>
        </is>
      </c>
      <c r="Q10" s="10" t="inlineStr">
        <is>
          <t>WAV 듣기</t>
        </is>
      </c>
      <c r="R10" s="11" t="inlineStr">
        <is>
          <t>pending</t>
        </is>
      </c>
      <c r="S10" s="11" t="inlineStr"/>
      <c r="T10" s="12">
        <f>IF(R10="approve_recommended",I10,IF(R10="approve_alternative",K10,IF(R10="approve_custom",S10,"")))</f>
        <v/>
      </c>
      <c r="U10" s="11" t="inlineStr"/>
      <c r="V10" s="12">
        <f>IF(OR(R10="hold",R10="reject"),R10,IF(R10="pending","pending",IF(T10="","phone_required","ready_to_record")))</f>
        <v/>
      </c>
      <c r="W10" s="9" t="inlineStr">
        <is>
          <t>phonological_exception</t>
        </is>
      </c>
      <c r="X10" s="9" t="inlineStr">
        <is>
          <t>연구자 승인 후 same-model fallback으로 누락 표층키만 추가</t>
        </is>
      </c>
    </row>
    <row r="11" ht="58" customHeight="1">
      <c r="A11" s="9" t="n">
        <v>10</v>
      </c>
      <c r="B11" s="9" t="inlineStr">
        <is>
          <t>no_path</t>
        </is>
      </c>
      <c r="C11" s="9" t="inlineStr">
        <is>
          <t>읊어야</t>
        </is>
      </c>
      <c r="D11" s="9" t="n">
        <v>1</v>
      </c>
      <c r="E11" s="9" t="inlineStr">
        <is>
          <t>2021</t>
        </is>
      </c>
      <c r="F11" s="9" t="inlineStr">
        <is>
          <t>을퍼야</t>
        </is>
      </c>
      <c r="G11" s="9" t="inlineStr">
        <is>
          <t>ɨ ɭ pʰ ʌ j ɐ</t>
        </is>
      </c>
      <c r="H11" s="9" t="inlineStr">
        <is>
          <t>을퍼야</t>
        </is>
      </c>
      <c r="I11" s="9" t="inlineStr">
        <is>
          <t>ɨ ɭ pʰ ʌ j ɐ</t>
        </is>
      </c>
      <c r="J11" s="9" t="inlineStr"/>
      <c r="K11" s="9" t="inlineStr"/>
      <c r="L11" s="9" t="inlineStr">
        <is>
          <t>accept_model_candidate</t>
        </is>
      </c>
      <c r="M11" s="9" t="inlineStr">
        <is>
          <t>high</t>
        </is>
      </c>
      <c r="N11" s="9" t="inlineStr">
        <is>
          <t>표준 발음법 제14항의 읊어[을퍼] 연음과 동일한 활용 환경이며, 동결 모델 후보를 그대로 권고한다.</t>
        </is>
      </c>
      <c r="O11" s="10" t="inlineStr">
        <is>
          <t>공식/사전 근거 열기</t>
        </is>
      </c>
      <c r="P11" s="9" t="inlineStr">
        <is>
          <t>SDRW2100001722.1.1.56</t>
        </is>
      </c>
      <c r="Q11" s="10" t="inlineStr">
        <is>
          <t>WAV 듣기</t>
        </is>
      </c>
      <c r="R11" s="11" t="inlineStr">
        <is>
          <t>pending</t>
        </is>
      </c>
      <c r="S11" s="11" t="inlineStr"/>
      <c r="T11" s="12">
        <f>IF(R11="approve_recommended",I11,IF(R11="approve_alternative",K11,IF(R11="approve_custom",S11,"")))</f>
        <v/>
      </c>
      <c r="U11" s="11" t="inlineStr"/>
      <c r="V11" s="12">
        <f>IF(OR(R11="hold",R11="reject"),R11,IF(R11="pending","pending",IF(T11="","phone_required","ready_to_record")))</f>
        <v/>
      </c>
      <c r="W11" s="9" t="inlineStr">
        <is>
          <t>phonological_exception</t>
        </is>
      </c>
      <c r="X11" s="9" t="inlineStr">
        <is>
          <t>연구자 승인 후 same-model fallback으로 누락 표층키만 추가</t>
        </is>
      </c>
    </row>
    <row r="12" ht="58" customHeight="1">
      <c r="A12" s="9" t="n">
        <v>11</v>
      </c>
      <c r="B12" s="9" t="inlineStr">
        <is>
          <t>no_path</t>
        </is>
      </c>
      <c r="C12" s="9" t="inlineStr">
        <is>
          <t>읊어졌다는데</t>
        </is>
      </c>
      <c r="D12" s="9" t="n">
        <v>1</v>
      </c>
      <c r="E12" s="9" t="inlineStr">
        <is>
          <t>2023</t>
        </is>
      </c>
      <c r="F12" s="9" t="inlineStr">
        <is>
          <t>을퍼젿따는데</t>
        </is>
      </c>
      <c r="G12" s="9" t="inlineStr">
        <is>
          <t>ɨ ɭ pʰ ʌ dʑ ʌ t̚ t͈ ɐ n ɨ n d e</t>
        </is>
      </c>
      <c r="H12" s="9" t="inlineStr">
        <is>
          <t>을퍼젿따는데</t>
        </is>
      </c>
      <c r="I12" s="9" t="inlineStr">
        <is>
          <t>ɨ ɭ pʰ ʌ dʑ ʌ t̚ t͈ ɐ n ɨ n d e</t>
        </is>
      </c>
      <c r="J12" s="9" t="inlineStr"/>
      <c r="K12" s="9" t="inlineStr"/>
      <c r="L12" s="9" t="inlineStr">
        <is>
          <t>accept_model_candidate</t>
        </is>
      </c>
      <c r="M12" s="9" t="inlineStr">
        <is>
          <t>high</t>
        </is>
      </c>
      <c r="N12" s="9" t="inlineStr">
        <is>
          <t>표준 발음법 제14항의 읊어[을퍼] 연음과 동일한 활용 환경이며, 동결 모델 후보를 그대로 권고한다.</t>
        </is>
      </c>
      <c r="O12" s="10" t="inlineStr">
        <is>
          <t>공식/사전 근거 열기</t>
        </is>
      </c>
      <c r="P12" s="9" t="inlineStr">
        <is>
          <t>SDRW2300001424.1.1.214</t>
        </is>
      </c>
      <c r="Q12" s="10" t="inlineStr">
        <is>
          <t>WAV 듣기</t>
        </is>
      </c>
      <c r="R12" s="11" t="inlineStr">
        <is>
          <t>pending</t>
        </is>
      </c>
      <c r="S12" s="11" t="inlineStr"/>
      <c r="T12" s="12">
        <f>IF(R12="approve_recommended",I12,IF(R12="approve_alternative",K12,IF(R12="approve_custom",S12,"")))</f>
        <v/>
      </c>
      <c r="U12" s="11" t="inlineStr"/>
      <c r="V12" s="12">
        <f>IF(OR(R12="hold",R12="reject"),R12,IF(R12="pending","pending",IF(T12="","phone_required","ready_to_record")))</f>
        <v/>
      </c>
      <c r="W12" s="9" t="inlineStr">
        <is>
          <t>phonological_exception</t>
        </is>
      </c>
      <c r="X12" s="9" t="inlineStr">
        <is>
          <t>연구자 승인 후 same-model fallback으로 누락 표층키만 추가</t>
        </is>
      </c>
    </row>
    <row r="13" ht="58" customHeight="1">
      <c r="A13" s="9" t="n">
        <v>12</v>
      </c>
      <c r="B13" s="9" t="inlineStr">
        <is>
          <t>no_path</t>
        </is>
      </c>
      <c r="C13" s="9" t="inlineStr">
        <is>
          <t>읊어주겠니</t>
        </is>
      </c>
      <c r="D13" s="9" t="n">
        <v>1</v>
      </c>
      <c r="E13" s="9" t="inlineStr">
        <is>
          <t>2023</t>
        </is>
      </c>
      <c r="F13" s="9" t="inlineStr">
        <is>
          <t>을퍼주겐니</t>
        </is>
      </c>
      <c r="G13" s="9" t="inlineStr">
        <is>
          <t>ɨ ɭ pʰ ʌ dʑ u ɡ e nː i</t>
        </is>
      </c>
      <c r="H13" s="9" t="inlineStr">
        <is>
          <t>을퍼주겐니</t>
        </is>
      </c>
      <c r="I13" s="9" t="inlineStr">
        <is>
          <t>ɨ ɭ pʰ ʌ dʑ u ɡ e nː i</t>
        </is>
      </c>
      <c r="J13" s="9" t="inlineStr"/>
      <c r="K13" s="9" t="inlineStr"/>
      <c r="L13" s="9" t="inlineStr">
        <is>
          <t>accept_model_candidate</t>
        </is>
      </c>
      <c r="M13" s="9" t="inlineStr">
        <is>
          <t>high</t>
        </is>
      </c>
      <c r="N13" s="9" t="inlineStr">
        <is>
          <t>표준 발음법 제14항의 읊어[을퍼] 연음과 동일한 활용 환경이며, 동결 모델 후보를 그대로 권고한다.</t>
        </is>
      </c>
      <c r="O13" s="10" t="inlineStr">
        <is>
          <t>공식/사전 근거 열기</t>
        </is>
      </c>
      <c r="P13" s="9" t="inlineStr">
        <is>
          <t>SDRW2300001040.1.1.303</t>
        </is>
      </c>
      <c r="Q13" s="10" t="inlineStr">
        <is>
          <t>WAV 듣기</t>
        </is>
      </c>
      <c r="R13" s="11" t="inlineStr">
        <is>
          <t>pending</t>
        </is>
      </c>
      <c r="S13" s="11" t="inlineStr"/>
      <c r="T13" s="12">
        <f>IF(R13="approve_recommended",I13,IF(R13="approve_alternative",K13,IF(R13="approve_custom",S13,"")))</f>
        <v/>
      </c>
      <c r="U13" s="11" t="inlineStr"/>
      <c r="V13" s="12">
        <f>IF(OR(R13="hold",R13="reject"),R13,IF(R13="pending","pending",IF(T13="","phone_required","ready_to_record")))</f>
        <v/>
      </c>
      <c r="W13" s="9" t="inlineStr">
        <is>
          <t>phonological_exception</t>
        </is>
      </c>
      <c r="X13" s="9" t="inlineStr">
        <is>
          <t>연구자 승인 후 same-model fallback으로 누락 표층키만 추가</t>
        </is>
      </c>
    </row>
    <row r="14" ht="58" customHeight="1">
      <c r="A14" s="9" t="n">
        <v>13</v>
      </c>
      <c r="B14" s="9" t="inlineStr">
        <is>
          <t>no_path</t>
        </is>
      </c>
      <c r="C14" s="9" t="inlineStr">
        <is>
          <t>읊어줄까</t>
        </is>
      </c>
      <c r="D14" s="9" t="n">
        <v>1</v>
      </c>
      <c r="E14" s="9" t="inlineStr">
        <is>
          <t>2023</t>
        </is>
      </c>
      <c r="F14" s="9" t="inlineStr">
        <is>
          <t>을퍼줄까</t>
        </is>
      </c>
      <c r="G14" s="9" t="inlineStr">
        <is>
          <t>ɨ ɭ pʰ ʌ dʑ u ɭ k͈ ɐ</t>
        </is>
      </c>
      <c r="H14" s="9" t="inlineStr">
        <is>
          <t>을퍼줄까</t>
        </is>
      </c>
      <c r="I14" s="9" t="inlineStr">
        <is>
          <t>ɨ ɭ pʰ ʌ dʑ u ɭ k͈ ɐ</t>
        </is>
      </c>
      <c r="J14" s="9" t="inlineStr"/>
      <c r="K14" s="9" t="inlineStr"/>
      <c r="L14" s="9" t="inlineStr">
        <is>
          <t>accept_model_candidate</t>
        </is>
      </c>
      <c r="M14" s="9" t="inlineStr">
        <is>
          <t>high</t>
        </is>
      </c>
      <c r="N14" s="9" t="inlineStr">
        <is>
          <t>표준 발음법 제14항의 읊어[을퍼] 연음과 동일한 활용 환경이며, 동결 모델 후보를 그대로 권고한다.</t>
        </is>
      </c>
      <c r="O14" s="10" t="inlineStr">
        <is>
          <t>공식/사전 근거 열기</t>
        </is>
      </c>
      <c r="P14" s="9" t="inlineStr">
        <is>
          <t>SDRW2300001040.1.1.298</t>
        </is>
      </c>
      <c r="Q14" s="10" t="inlineStr">
        <is>
          <t>WAV 듣기</t>
        </is>
      </c>
      <c r="R14" s="11" t="inlineStr">
        <is>
          <t>pending</t>
        </is>
      </c>
      <c r="S14" s="11" t="inlineStr"/>
      <c r="T14" s="12">
        <f>IF(R14="approve_recommended",I14,IF(R14="approve_alternative",K14,IF(R14="approve_custom",S14,"")))</f>
        <v/>
      </c>
      <c r="U14" s="11" t="inlineStr"/>
      <c r="V14" s="12">
        <f>IF(OR(R14="hold",R14="reject"),R14,IF(R14="pending","pending",IF(T14="","phone_required","ready_to_record")))</f>
        <v/>
      </c>
      <c r="W14" s="9" t="inlineStr">
        <is>
          <t>phonological_exception</t>
        </is>
      </c>
      <c r="X14" s="9" t="inlineStr">
        <is>
          <t>연구자 승인 후 same-model fallback으로 누락 표층키만 추가</t>
        </is>
      </c>
    </row>
    <row r="15" ht="58" customHeight="1">
      <c r="A15" s="9" t="n">
        <v>14</v>
      </c>
      <c r="B15" s="9" t="inlineStr">
        <is>
          <t>no_path</t>
        </is>
      </c>
      <c r="C15" s="9" t="inlineStr">
        <is>
          <t>읊었는데</t>
        </is>
      </c>
      <c r="D15" s="9" t="n">
        <v>1</v>
      </c>
      <c r="E15" s="9" t="inlineStr">
        <is>
          <t>2025</t>
        </is>
      </c>
      <c r="F15" s="9" t="inlineStr">
        <is>
          <t>을펀는데</t>
        </is>
      </c>
      <c r="G15" s="9" t="inlineStr">
        <is>
          <t>ɨ ɭ pʰ ʌ nː ɨ n d e</t>
        </is>
      </c>
      <c r="H15" s="9" t="inlineStr">
        <is>
          <t>을펀는데</t>
        </is>
      </c>
      <c r="I15" s="9" t="inlineStr">
        <is>
          <t>ɨ ɭ pʰ ʌ nː ɨ n d e</t>
        </is>
      </c>
      <c r="J15" s="9" t="inlineStr"/>
      <c r="K15" s="9" t="inlineStr"/>
      <c r="L15" s="9" t="inlineStr">
        <is>
          <t>accept_model_candidate</t>
        </is>
      </c>
      <c r="M15" s="9" t="inlineStr">
        <is>
          <t>high</t>
        </is>
      </c>
      <c r="N15" s="9" t="inlineStr">
        <is>
          <t>표준 발음법 제14항의 읊어[을퍼] 연음과 동일한 활용 환경이며, 동결 모델 후보를 그대로 권고한다.</t>
        </is>
      </c>
      <c r="O15" s="10" t="inlineStr">
        <is>
          <t>공식/사전 근거 열기</t>
        </is>
      </c>
      <c r="P15" s="9" t="inlineStr">
        <is>
          <t>SDRW2500002085.1.1.100</t>
        </is>
      </c>
      <c r="Q15" s="10" t="inlineStr">
        <is>
          <t>WAV 듣기</t>
        </is>
      </c>
      <c r="R15" s="11" t="inlineStr">
        <is>
          <t>pending</t>
        </is>
      </c>
      <c r="S15" s="11" t="inlineStr"/>
      <c r="T15" s="12">
        <f>IF(R15="approve_recommended",I15,IF(R15="approve_alternative",K15,IF(R15="approve_custom",S15,"")))</f>
        <v/>
      </c>
      <c r="U15" s="11" t="inlineStr"/>
      <c r="V15" s="12">
        <f>IF(OR(R15="hold",R15="reject"),R15,IF(R15="pending","pending",IF(T15="","phone_required","ready_to_record")))</f>
        <v/>
      </c>
      <c r="W15" s="9" t="inlineStr">
        <is>
          <t>phonological_exception</t>
        </is>
      </c>
      <c r="X15" s="9" t="inlineStr">
        <is>
          <t>연구자 승인 후 same-model fallback으로 누락 표층키만 추가</t>
        </is>
      </c>
    </row>
    <row r="16" ht="58" customHeight="1">
      <c r="A16" s="9" t="n">
        <v>15</v>
      </c>
      <c r="B16" s="9" t="inlineStr">
        <is>
          <t>no_path</t>
        </is>
      </c>
      <c r="C16" s="9" t="inlineStr">
        <is>
          <t>읊었다는</t>
        </is>
      </c>
      <c r="D16" s="9" t="n">
        <v>1</v>
      </c>
      <c r="E16" s="9" t="inlineStr">
        <is>
          <t>2025</t>
        </is>
      </c>
      <c r="F16" s="9" t="inlineStr">
        <is>
          <t>을펃따는</t>
        </is>
      </c>
      <c r="G16" s="9" t="inlineStr">
        <is>
          <t>ɨ ɭ pʰ ʌ t̚ t͈ ɐ n ɨ n</t>
        </is>
      </c>
      <c r="H16" s="9" t="inlineStr">
        <is>
          <t>을펃따는</t>
        </is>
      </c>
      <c r="I16" s="9" t="inlineStr">
        <is>
          <t>ɨ ɭ pʰ ʌ t̚ t͈ ɐ n ɨ n</t>
        </is>
      </c>
      <c r="J16" s="9" t="inlineStr"/>
      <c r="K16" s="9" t="inlineStr"/>
      <c r="L16" s="9" t="inlineStr">
        <is>
          <t>accept_model_candidate</t>
        </is>
      </c>
      <c r="M16" s="9" t="inlineStr">
        <is>
          <t>high</t>
        </is>
      </c>
      <c r="N16" s="9" t="inlineStr">
        <is>
          <t>표준 발음법 제14항의 읊어[을퍼] 연음과 동일한 활용 환경이며, 동결 모델 후보를 그대로 권고한다.</t>
        </is>
      </c>
      <c r="O16" s="10" t="inlineStr">
        <is>
          <t>공식/사전 근거 열기</t>
        </is>
      </c>
      <c r="P16" s="9" t="inlineStr">
        <is>
          <t>SARW2500000384.1.1.109</t>
        </is>
      </c>
      <c r="Q16" s="10" t="inlineStr">
        <is>
          <t>WAV 듣기</t>
        </is>
      </c>
      <c r="R16" s="11" t="inlineStr">
        <is>
          <t>pending</t>
        </is>
      </c>
      <c r="S16" s="11" t="inlineStr"/>
      <c r="T16" s="12">
        <f>IF(R16="approve_recommended",I16,IF(R16="approve_alternative",K16,IF(R16="approve_custom",S16,"")))</f>
        <v/>
      </c>
      <c r="U16" s="11" t="inlineStr"/>
      <c r="V16" s="12">
        <f>IF(OR(R16="hold",R16="reject"),R16,IF(R16="pending","pending",IF(T16="","phone_required","ready_to_record")))</f>
        <v/>
      </c>
      <c r="W16" s="9" t="inlineStr">
        <is>
          <t>phonological_exception</t>
        </is>
      </c>
      <c r="X16" s="9" t="inlineStr">
        <is>
          <t>연구자 승인 후 same-model fallback으로 누락 표층키만 추가</t>
        </is>
      </c>
    </row>
    <row r="17" ht="58" customHeight="1">
      <c r="A17" s="9" t="n">
        <v>16</v>
      </c>
      <c r="B17" s="9" t="inlineStr">
        <is>
          <t>no_path</t>
        </is>
      </c>
      <c r="C17" s="9" t="inlineStr">
        <is>
          <t>읊었습니다</t>
        </is>
      </c>
      <c r="D17" s="9" t="n">
        <v>1</v>
      </c>
      <c r="E17" s="9" t="inlineStr">
        <is>
          <t>2025</t>
        </is>
      </c>
      <c r="F17" s="9" t="inlineStr">
        <is>
          <t>을펃씀니다</t>
        </is>
      </c>
      <c r="G17" s="9" t="inlineStr">
        <is>
          <t>ɨ ɭ pʰ ʌ t̚ s͈ ɨ m ɲ i d ɐ</t>
        </is>
      </c>
      <c r="H17" s="9" t="inlineStr">
        <is>
          <t>을펃씀니다</t>
        </is>
      </c>
      <c r="I17" s="9" t="inlineStr">
        <is>
          <t>ɨ ɭ pʰ ʌ t̚ s͈ ɨ m ɲ i d ɐ</t>
        </is>
      </c>
      <c r="J17" s="9" t="inlineStr"/>
      <c r="K17" s="9" t="inlineStr"/>
      <c r="L17" s="9" t="inlineStr">
        <is>
          <t>accept_model_candidate</t>
        </is>
      </c>
      <c r="M17" s="9" t="inlineStr">
        <is>
          <t>high</t>
        </is>
      </c>
      <c r="N17" s="9" t="inlineStr">
        <is>
          <t>표준 발음법 제14항의 읊어[을퍼] 연음과 동일한 활용 환경이며, 동결 모델 후보를 그대로 권고한다.</t>
        </is>
      </c>
      <c r="O17" s="10" t="inlineStr">
        <is>
          <t>공식/사전 근거 열기</t>
        </is>
      </c>
      <c r="P17" s="9" t="inlineStr">
        <is>
          <t>SARW2500000384.1.1.155</t>
        </is>
      </c>
      <c r="Q17" s="10" t="inlineStr">
        <is>
          <t>WAV 듣기</t>
        </is>
      </c>
      <c r="R17" s="11" t="inlineStr">
        <is>
          <t>pending</t>
        </is>
      </c>
      <c r="S17" s="11" t="inlineStr"/>
      <c r="T17" s="12">
        <f>IF(R17="approve_recommended",I17,IF(R17="approve_alternative",K17,IF(R17="approve_custom",S17,"")))</f>
        <v/>
      </c>
      <c r="U17" s="11" t="inlineStr"/>
      <c r="V17" s="12">
        <f>IF(OR(R17="hold",R17="reject"),R17,IF(R17="pending","pending",IF(T17="","phone_required","ready_to_record")))</f>
        <v/>
      </c>
      <c r="W17" s="9" t="inlineStr">
        <is>
          <t>phonological_exception</t>
        </is>
      </c>
      <c r="X17" s="9" t="inlineStr">
        <is>
          <t>연구자 승인 후 same-model fallback으로 누락 표층키만 추가</t>
        </is>
      </c>
    </row>
    <row r="18" ht="58" customHeight="1">
      <c r="A18" s="9" t="n">
        <v>17</v>
      </c>
      <c r="B18" s="9" t="inlineStr">
        <is>
          <t>no_path</t>
        </is>
      </c>
      <c r="C18" s="9" t="inlineStr">
        <is>
          <t>읊으는</t>
        </is>
      </c>
      <c r="D18" s="9" t="n">
        <v>1</v>
      </c>
      <c r="E18" s="9" t="inlineStr">
        <is>
          <t>2024</t>
        </is>
      </c>
      <c r="F18" s="9" t="inlineStr">
        <is>
          <t>을프는</t>
        </is>
      </c>
      <c r="G18" s="9" t="inlineStr">
        <is>
          <t>ɨ ɭ pʰ ɨ n ɨ n</t>
        </is>
      </c>
      <c r="H18" s="9" t="inlineStr">
        <is>
          <t>을프는</t>
        </is>
      </c>
      <c r="I18" s="9" t="inlineStr">
        <is>
          <t>ɨ ɭ pʰ ɨ n ɨ n</t>
        </is>
      </c>
      <c r="J18" s="9" t="inlineStr"/>
      <c r="K18" s="9" t="inlineStr"/>
      <c r="L18" s="9" t="inlineStr">
        <is>
          <t>accept_model_candidate</t>
        </is>
      </c>
      <c r="M18" s="9" t="inlineStr">
        <is>
          <t>high</t>
        </is>
      </c>
      <c r="N18" s="9" t="inlineStr">
        <is>
          <t>표준 발음법 제14항의 읊어[을퍼] 연음과 동일한 활용 환경이며, 동결 모델 후보를 그대로 권고한다.</t>
        </is>
      </c>
      <c r="O18" s="10" t="inlineStr">
        <is>
          <t>공식/사전 근거 열기</t>
        </is>
      </c>
      <c r="P18" s="9" t="inlineStr">
        <is>
          <t>SDRW2400002478.1.1.26</t>
        </is>
      </c>
      <c r="Q18" s="10" t="inlineStr">
        <is>
          <t>WAV 듣기</t>
        </is>
      </c>
      <c r="R18" s="11" t="inlineStr">
        <is>
          <t>pending</t>
        </is>
      </c>
      <c r="S18" s="11" t="inlineStr"/>
      <c r="T18" s="12">
        <f>IF(R18="approve_recommended",I18,IF(R18="approve_alternative",K18,IF(R18="approve_custom",S18,"")))</f>
        <v/>
      </c>
      <c r="U18" s="11" t="inlineStr"/>
      <c r="V18" s="12">
        <f>IF(OR(R18="hold",R18="reject"),R18,IF(R18="pending","pending",IF(T18="","phone_required","ready_to_record")))</f>
        <v/>
      </c>
      <c r="W18" s="9" t="inlineStr">
        <is>
          <t>phonological_exception</t>
        </is>
      </c>
      <c r="X18" s="9" t="inlineStr">
        <is>
          <t>연구자 승인 후 same-model fallback으로 누락 표층키만 추가</t>
        </is>
      </c>
    </row>
    <row r="19" ht="58" customHeight="1">
      <c r="A19" s="9" t="n">
        <v>18</v>
      </c>
      <c r="B19" s="9" t="inlineStr">
        <is>
          <t>no_path</t>
        </is>
      </c>
      <c r="C19" s="9" t="inlineStr">
        <is>
          <t>읊으라고</t>
        </is>
      </c>
      <c r="D19" s="9" t="n">
        <v>1</v>
      </c>
      <c r="E19" s="9" t="inlineStr">
        <is>
          <t>2025</t>
        </is>
      </c>
      <c r="F19" s="9" t="inlineStr">
        <is>
          <t>을프라고</t>
        </is>
      </c>
      <c r="G19" s="9" t="inlineStr">
        <is>
          <t>ɨ ɭ pʰ ɨ ɾ ɐ ɡ o</t>
        </is>
      </c>
      <c r="H19" s="9" t="inlineStr">
        <is>
          <t>을프라고</t>
        </is>
      </c>
      <c r="I19" s="9" t="inlineStr">
        <is>
          <t>ɨ ɭ pʰ ɨ ɾ ɐ ɡ o</t>
        </is>
      </c>
      <c r="J19" s="9" t="inlineStr"/>
      <c r="K19" s="9" t="inlineStr"/>
      <c r="L19" s="9" t="inlineStr">
        <is>
          <t>accept_model_candidate</t>
        </is>
      </c>
      <c r="M19" s="9" t="inlineStr">
        <is>
          <t>high</t>
        </is>
      </c>
      <c r="N19" s="9" t="inlineStr">
        <is>
          <t>표준 발음법 제14항의 읊어[을퍼] 연음과 동일한 활용 환경이며, 동결 모델 후보를 그대로 권고한다.</t>
        </is>
      </c>
      <c r="O19" s="10" t="inlineStr">
        <is>
          <t>공식/사전 근거 열기</t>
        </is>
      </c>
      <c r="P19" s="9" t="inlineStr">
        <is>
          <t>SDRW2500002345.1.1.153</t>
        </is>
      </c>
      <c r="Q19" s="10" t="inlineStr">
        <is>
          <t>WAV 듣기</t>
        </is>
      </c>
      <c r="R19" s="11" t="inlineStr">
        <is>
          <t>pending</t>
        </is>
      </c>
      <c r="S19" s="11" t="inlineStr"/>
      <c r="T19" s="12">
        <f>IF(R19="approve_recommended",I19,IF(R19="approve_alternative",K19,IF(R19="approve_custom",S19,"")))</f>
        <v/>
      </c>
      <c r="U19" s="11" t="inlineStr"/>
      <c r="V19" s="12">
        <f>IF(OR(R19="hold",R19="reject"),R19,IF(R19="pending","pending",IF(T19="","phone_required","ready_to_record")))</f>
        <v/>
      </c>
      <c r="W19" s="9" t="inlineStr">
        <is>
          <t>phonological_exception</t>
        </is>
      </c>
      <c r="X19" s="9" t="inlineStr">
        <is>
          <t>연구자 승인 후 same-model fallback으로 누락 표층키만 추가</t>
        </is>
      </c>
    </row>
    <row r="20" ht="58" customHeight="1">
      <c r="A20" s="9" t="n">
        <v>19</v>
      </c>
      <c r="B20" s="9" t="inlineStr">
        <is>
          <t>no_path</t>
        </is>
      </c>
      <c r="C20" s="9" t="inlineStr">
        <is>
          <t>읊으려면</t>
        </is>
      </c>
      <c r="D20" s="9" t="n">
        <v>1</v>
      </c>
      <c r="E20" s="9" t="inlineStr">
        <is>
          <t>2023</t>
        </is>
      </c>
      <c r="F20" s="9" t="inlineStr">
        <is>
          <t>을프려면</t>
        </is>
      </c>
      <c r="G20" s="9" t="inlineStr">
        <is>
          <t>ɨ ɭ pʰ ɨ ɾʲ ʌ mʲ ʌ n</t>
        </is>
      </c>
      <c r="H20" s="9" t="inlineStr">
        <is>
          <t>을프려면</t>
        </is>
      </c>
      <c r="I20" s="9" t="inlineStr">
        <is>
          <t>ɨ ɭ pʰ ɨ ɾʲ ʌ mʲ ʌ n</t>
        </is>
      </c>
      <c r="J20" s="9" t="inlineStr"/>
      <c r="K20" s="9" t="inlineStr"/>
      <c r="L20" s="9" t="inlineStr">
        <is>
          <t>accept_model_candidate</t>
        </is>
      </c>
      <c r="M20" s="9" t="inlineStr">
        <is>
          <t>high</t>
        </is>
      </c>
      <c r="N20" s="9" t="inlineStr">
        <is>
          <t>표준 발음법 제14항의 읊어[을퍼] 연음과 동일한 활용 환경이며, 동결 모델 후보를 그대로 권고한다.</t>
        </is>
      </c>
      <c r="O20" s="10" t="inlineStr">
        <is>
          <t>공식/사전 근거 열기</t>
        </is>
      </c>
      <c r="P20" s="9" t="inlineStr">
        <is>
          <t>SDRW2300001040.1.1.293</t>
        </is>
      </c>
      <c r="Q20" s="10" t="inlineStr">
        <is>
          <t>WAV 듣기</t>
        </is>
      </c>
      <c r="R20" s="11" t="inlineStr">
        <is>
          <t>pending</t>
        </is>
      </c>
      <c r="S20" s="11" t="inlineStr"/>
      <c r="T20" s="12">
        <f>IF(R20="approve_recommended",I20,IF(R20="approve_alternative",K20,IF(R20="approve_custom",S20,"")))</f>
        <v/>
      </c>
      <c r="U20" s="11" t="inlineStr"/>
      <c r="V20" s="12">
        <f>IF(OR(R20="hold",R20="reject"),R20,IF(R20="pending","pending",IF(T20="","phone_required","ready_to_record")))</f>
        <v/>
      </c>
      <c r="W20" s="9" t="inlineStr">
        <is>
          <t>phonological_exception</t>
        </is>
      </c>
      <c r="X20" s="9" t="inlineStr">
        <is>
          <t>연구자 승인 후 same-model fallback으로 누락 표층키만 추가</t>
        </is>
      </c>
    </row>
    <row r="21" ht="58" customHeight="1">
      <c r="A21" s="9" t="n">
        <v>20</v>
      </c>
      <c r="B21" s="9" t="inlineStr">
        <is>
          <t>no_path</t>
        </is>
      </c>
      <c r="C21" s="9" t="inlineStr">
        <is>
          <t>읊으면서</t>
        </is>
      </c>
      <c r="D21" s="9" t="n">
        <v>1</v>
      </c>
      <c r="E21" s="9" t="inlineStr">
        <is>
          <t>2020</t>
        </is>
      </c>
      <c r="F21" s="9" t="inlineStr">
        <is>
          <t>을프면서</t>
        </is>
      </c>
      <c r="G21" s="9" t="inlineStr">
        <is>
          <t>ɨ ɭ pʰ ɨ mʲ ʌ n sʰ ʌ</t>
        </is>
      </c>
      <c r="H21" s="9" t="inlineStr">
        <is>
          <t>을프면서</t>
        </is>
      </c>
      <c r="I21" s="9" t="inlineStr">
        <is>
          <t>ɨ ɭ pʰ ɨ mʲ ʌ n sʰ ʌ</t>
        </is>
      </c>
      <c r="J21" s="9" t="inlineStr"/>
      <c r="K21" s="9" t="inlineStr"/>
      <c r="L21" s="9" t="inlineStr">
        <is>
          <t>accept_model_candidate</t>
        </is>
      </c>
      <c r="M21" s="9" t="inlineStr">
        <is>
          <t>high</t>
        </is>
      </c>
      <c r="N21" s="9" t="inlineStr">
        <is>
          <t>표준 발음법 제14항의 읊어[을퍼] 연음과 동일한 활용 환경이며, 동결 모델 후보를 그대로 권고한다.</t>
        </is>
      </c>
      <c r="O21" s="10" t="inlineStr">
        <is>
          <t>공식/사전 근거 열기</t>
        </is>
      </c>
      <c r="P21" s="9" t="inlineStr">
        <is>
          <t>SDRW2000000115.1.1.191</t>
        </is>
      </c>
      <c r="Q21" s="10" t="inlineStr">
        <is>
          <t>WAV 듣기</t>
        </is>
      </c>
      <c r="R21" s="11" t="inlineStr">
        <is>
          <t>pending</t>
        </is>
      </c>
      <c r="S21" s="11" t="inlineStr"/>
      <c r="T21" s="12">
        <f>IF(R21="approve_recommended",I21,IF(R21="approve_alternative",K21,IF(R21="approve_custom",S21,"")))</f>
        <v/>
      </c>
      <c r="U21" s="11" t="inlineStr"/>
      <c r="V21" s="12">
        <f>IF(OR(R21="hold",R21="reject"),R21,IF(R21="pending","pending",IF(T21="","phone_required","ready_to_record")))</f>
        <v/>
      </c>
      <c r="W21" s="9" t="inlineStr">
        <is>
          <t>phonological_exception</t>
        </is>
      </c>
      <c r="X21" s="9" t="inlineStr">
        <is>
          <t>연구자 승인 후 same-model fallback으로 누락 표층키만 추가</t>
        </is>
      </c>
    </row>
    <row r="22" ht="58" customHeight="1">
      <c r="A22" s="9" t="n">
        <v>21</v>
      </c>
      <c r="B22" s="9" t="inlineStr">
        <is>
          <t>no_path</t>
        </is>
      </c>
      <c r="C22" s="9" t="inlineStr">
        <is>
          <t>읊으시기도</t>
        </is>
      </c>
      <c r="D22" s="9" t="n">
        <v>1</v>
      </c>
      <c r="E22" s="9" t="inlineStr">
        <is>
          <t>2023</t>
        </is>
      </c>
      <c r="F22" s="9" t="inlineStr">
        <is>
          <t>을프시기도</t>
        </is>
      </c>
      <c r="G22" s="9" t="inlineStr">
        <is>
          <t>ɨ ɭ pʰ ɨ ɕʰ i ɟ i d o</t>
        </is>
      </c>
      <c r="H22" s="9" t="inlineStr">
        <is>
          <t>을프시기도</t>
        </is>
      </c>
      <c r="I22" s="9" t="inlineStr">
        <is>
          <t>ɨ ɭ pʰ ɨ ɕʰ i ɟ i d o</t>
        </is>
      </c>
      <c r="J22" s="9" t="inlineStr"/>
      <c r="K22" s="9" t="inlineStr"/>
      <c r="L22" s="9" t="inlineStr">
        <is>
          <t>accept_model_candidate</t>
        </is>
      </c>
      <c r="M22" s="9" t="inlineStr">
        <is>
          <t>high</t>
        </is>
      </c>
      <c r="N22" s="9" t="inlineStr">
        <is>
          <t>표준 발음법 제14항의 읊어[을퍼] 연음과 동일한 활용 환경이며, 동결 모델 후보를 그대로 권고한다.</t>
        </is>
      </c>
      <c r="O22" s="10" t="inlineStr">
        <is>
          <t>공식/사전 근거 열기</t>
        </is>
      </c>
      <c r="P22" s="9" t="inlineStr">
        <is>
          <t>SDRW2300000212.1.1.283</t>
        </is>
      </c>
      <c r="Q22" s="10" t="inlineStr">
        <is>
          <t>WAV 듣기</t>
        </is>
      </c>
      <c r="R22" s="11" t="inlineStr">
        <is>
          <t>pending</t>
        </is>
      </c>
      <c r="S22" s="11" t="inlineStr"/>
      <c r="T22" s="12">
        <f>IF(R22="approve_recommended",I22,IF(R22="approve_alternative",K22,IF(R22="approve_custom",S22,"")))</f>
        <v/>
      </c>
      <c r="U22" s="11" t="inlineStr"/>
      <c r="V22" s="12">
        <f>IF(OR(R22="hold",R22="reject"),R22,IF(R22="pending","pending",IF(T22="","phone_required","ready_to_record")))</f>
        <v/>
      </c>
      <c r="W22" s="9" t="inlineStr">
        <is>
          <t>phonological_exception</t>
        </is>
      </c>
      <c r="X22" s="9" t="inlineStr">
        <is>
          <t>연구자 승인 후 same-model fallback으로 누락 표층키만 추가</t>
        </is>
      </c>
    </row>
    <row r="23" ht="58" customHeight="1">
      <c r="A23" s="9" t="n">
        <v>22</v>
      </c>
      <c r="B23" s="9" t="inlineStr">
        <is>
          <t>no_path</t>
        </is>
      </c>
      <c r="C23" s="9" t="inlineStr">
        <is>
          <t>읊은</t>
        </is>
      </c>
      <c r="D23" s="9" t="n">
        <v>2</v>
      </c>
      <c r="E23" s="9" t="inlineStr">
        <is>
          <t>2025</t>
        </is>
      </c>
      <c r="F23" s="9" t="inlineStr">
        <is>
          <t>을픈</t>
        </is>
      </c>
      <c r="G23" s="9" t="inlineStr">
        <is>
          <t>ɨ ɭ pʰ ɨ n</t>
        </is>
      </c>
      <c r="H23" s="9" t="inlineStr">
        <is>
          <t>을픈</t>
        </is>
      </c>
      <c r="I23" s="9" t="inlineStr">
        <is>
          <t>ɨ ɭ pʰ ɨ n</t>
        </is>
      </c>
      <c r="J23" s="9" t="inlineStr"/>
      <c r="K23" s="9" t="inlineStr"/>
      <c r="L23" s="9" t="inlineStr">
        <is>
          <t>accept_model_candidate</t>
        </is>
      </c>
      <c r="M23" s="9" t="inlineStr">
        <is>
          <t>high</t>
        </is>
      </c>
      <c r="N23" s="9" t="inlineStr">
        <is>
          <t>표준 발음법 제14항의 읊어[을퍼] 연음과 동일한 활용 환경이며, 동결 모델 후보를 그대로 권고한다.</t>
        </is>
      </c>
      <c r="O23" s="10" t="inlineStr">
        <is>
          <t>공식/사전 근거 열기</t>
        </is>
      </c>
      <c r="P23" s="9" t="inlineStr">
        <is>
          <t>SARW2500000384.1.1.122</t>
        </is>
      </c>
      <c r="Q23" s="10" t="inlineStr">
        <is>
          <t>WAV 듣기</t>
        </is>
      </c>
      <c r="R23" s="11" t="inlineStr">
        <is>
          <t>pending</t>
        </is>
      </c>
      <c r="S23" s="11" t="inlineStr"/>
      <c r="T23" s="12">
        <f>IF(R23="approve_recommended",I23,IF(R23="approve_alternative",K23,IF(R23="approve_custom",S23,"")))</f>
        <v/>
      </c>
      <c r="U23" s="11" t="inlineStr"/>
      <c r="V23" s="12">
        <f>IF(OR(R23="hold",R23="reject"),R23,IF(R23="pending","pending",IF(T23="","phone_required","ready_to_record")))</f>
        <v/>
      </c>
      <c r="W23" s="9" t="inlineStr">
        <is>
          <t>phonological_exception</t>
        </is>
      </c>
      <c r="X23" s="9" t="inlineStr">
        <is>
          <t>연구자 승인 후 same-model fallback으로 누락 표층키만 추가</t>
        </is>
      </c>
    </row>
    <row r="24" ht="58" customHeight="1">
      <c r="A24" s="9" t="n">
        <v>23</v>
      </c>
      <c r="B24" s="9" t="inlineStr">
        <is>
          <t>no_path</t>
        </is>
      </c>
      <c r="C24" s="9" t="inlineStr">
        <is>
          <t>읊을</t>
        </is>
      </c>
      <c r="D24" s="9" t="n">
        <v>3</v>
      </c>
      <c r="E24" s="9" t="inlineStr">
        <is>
          <t>2021,2023,2025</t>
        </is>
      </c>
      <c r="F24" s="9" t="inlineStr">
        <is>
          <t>을플</t>
        </is>
      </c>
      <c r="G24" s="9" t="inlineStr">
        <is>
          <t>ɨ ɭ pʰ ɨ ɭ</t>
        </is>
      </c>
      <c r="H24" s="9" t="inlineStr">
        <is>
          <t>을플</t>
        </is>
      </c>
      <c r="I24" s="9" t="inlineStr">
        <is>
          <t>ɨ ɭ pʰ ɨ ɭ</t>
        </is>
      </c>
      <c r="J24" s="9" t="inlineStr"/>
      <c r="K24" s="9" t="inlineStr"/>
      <c r="L24" s="9" t="inlineStr">
        <is>
          <t>accept_model_candidate</t>
        </is>
      </c>
      <c r="M24" s="9" t="inlineStr">
        <is>
          <t>high</t>
        </is>
      </c>
      <c r="N24" s="9" t="inlineStr">
        <is>
          <t>표준 발음법 제14항의 읊어[을퍼] 연음과 동일한 활용 환경이며, 동결 모델 후보를 그대로 권고한다.</t>
        </is>
      </c>
      <c r="O24" s="10" t="inlineStr">
        <is>
          <t>공식/사전 근거 열기</t>
        </is>
      </c>
      <c r="P24" s="9" t="inlineStr">
        <is>
          <t>SDRW2100002577.1.1.124</t>
        </is>
      </c>
      <c r="Q24" s="10" t="inlineStr">
        <is>
          <t>WAV 듣기</t>
        </is>
      </c>
      <c r="R24" s="11" t="inlineStr">
        <is>
          <t>pending</t>
        </is>
      </c>
      <c r="S24" s="11" t="inlineStr"/>
      <c r="T24" s="12">
        <f>IF(R24="approve_recommended",I24,IF(R24="approve_alternative",K24,IF(R24="approve_custom",S24,"")))</f>
        <v/>
      </c>
      <c r="U24" s="11" t="inlineStr"/>
      <c r="V24" s="12">
        <f>IF(OR(R24="hold",R24="reject"),R24,IF(R24="pending","pending",IF(T24="","phone_required","ready_to_record")))</f>
        <v/>
      </c>
      <c r="W24" s="9" t="inlineStr">
        <is>
          <t>phonological_exception</t>
        </is>
      </c>
      <c r="X24" s="9" t="inlineStr">
        <is>
          <t>연구자 승인 후 same-model fallback으로 누락 표층키만 추가</t>
        </is>
      </c>
    </row>
    <row r="25" ht="58" customHeight="1">
      <c r="A25" s="9" t="n">
        <v>24</v>
      </c>
      <c r="B25" s="9" t="inlineStr">
        <is>
          <t>jamo_ls</t>
        </is>
      </c>
      <c r="C25" s="9" t="inlineStr">
        <is>
          <t>외곬수적인</t>
        </is>
      </c>
      <c r="D25" s="9" t="n">
        <v>1</v>
      </c>
      <c r="E25" s="9" t="inlineStr">
        <is>
          <t>2022</t>
        </is>
      </c>
      <c r="F25" s="9" t="inlineStr">
        <is>
          <t>외골ᆺ수적인</t>
        </is>
      </c>
      <c r="G25" s="9" t="inlineStr">
        <is>
          <t>w eː ɡ o ɭ sʰ s u dʑ ʌ ɟ i n</t>
        </is>
      </c>
      <c r="H25" s="9" t="inlineStr">
        <is>
          <t>외골쑤저긴</t>
        </is>
      </c>
      <c r="I25" s="9" t="inlineStr">
        <is>
          <t>w eː ɡ o ɭ s͈ u dʑ ʌ ɟ i n</t>
        </is>
      </c>
      <c r="J25" s="9" t="inlineStr">
        <is>
          <t>외골수저긴</t>
        </is>
      </c>
      <c r="K25" s="9" t="inlineStr">
        <is>
          <t>w eː ɡ o ɭ s u dʑ ʌ ɟ i n</t>
        </is>
      </c>
      <c r="L25" s="9" t="inlineStr">
        <is>
          <t>source_correction_and_audio_choice</t>
        </is>
      </c>
      <c r="M25" s="9" t="inlineStr">
        <is>
          <t>medium</t>
        </is>
      </c>
      <c r="N25" s="9" t="inlineStr">
        <is>
          <t>원 JSON도 외곬수적인이지만 문맥상 표준어 외골수적인의 원전사 표기 오류 가능성이 높다. NIKL 어휘부의 외골수 제1의 발음은 외골쑤/웨골쑤다. phone 승인과 함께 source correction registry에 원형 보존·교정형을 모두 기록해야 한다.</t>
        </is>
      </c>
      <c r="O25" s="10" t="inlineStr">
        <is>
          <t>공식/사전 근거 열기</t>
        </is>
      </c>
      <c r="P25" s="9" t="inlineStr">
        <is>
          <t>SDRW2200001054.1.1.156</t>
        </is>
      </c>
      <c r="Q25" s="10" t="inlineStr">
        <is>
          <t>WAV 듣기</t>
        </is>
      </c>
      <c r="R25" s="11" t="inlineStr">
        <is>
          <t>pending</t>
        </is>
      </c>
      <c r="S25" s="11" t="inlineStr"/>
      <c r="T25" s="12">
        <f>IF(R25="approve_recommended",I25,IF(R25="approve_alternative",K25,IF(R25="approve_custom",S25,"")))</f>
        <v/>
      </c>
      <c r="U25" s="11" t="inlineStr"/>
      <c r="V25" s="12">
        <f>IF(OR(R25="hold",R25="reject"),R25,IF(R25="pending","pending",IF(T25="","phone_required","ready_to_record")))</f>
        <v/>
      </c>
      <c r="W25" s="9" t="inlineStr">
        <is>
          <t>source_spelling_correction_required</t>
        </is>
      </c>
      <c r="X25" s="9" t="inlineStr">
        <is>
          <t>raw는 보존; MFA alias와 검색용 correction overlay를 함께 생성</t>
        </is>
      </c>
    </row>
    <row r="26" ht="58" customHeight="1">
      <c r="A26" s="9" t="n">
        <v>25</v>
      </c>
      <c r="B26" s="9" t="inlineStr">
        <is>
          <t>jamo_ls</t>
        </is>
      </c>
      <c r="C26" s="9" t="inlineStr">
        <is>
          <t>외곬을</t>
        </is>
      </c>
      <c r="D26" s="9" t="n">
        <v>1</v>
      </c>
      <c r="E26" s="9" t="inlineStr">
        <is>
          <t>2025</t>
        </is>
      </c>
      <c r="F26" s="9" t="inlineStr">
        <is>
          <t>외골ᆺ을</t>
        </is>
      </c>
      <c r="G26" s="9" t="inlineStr">
        <is>
          <t>w eː ɡ o ɭ sʰ ɨ ɭ</t>
        </is>
      </c>
      <c r="H26" s="9" t="inlineStr">
        <is>
          <t>외골쓸</t>
        </is>
      </c>
      <c r="I26" s="9" t="inlineStr">
        <is>
          <t>w eː ɡ o ɭ s͈ ɨ ɭ</t>
        </is>
      </c>
      <c r="J26" s="9" t="inlineStr"/>
      <c r="K26" s="9" t="inlineStr"/>
      <c r="L26" s="9" t="inlineStr">
        <is>
          <t>manual_phone_override</t>
        </is>
      </c>
      <c r="M26" s="9" t="inlineStr">
        <is>
          <t>high</t>
        </is>
      </c>
      <c r="N26" s="9" t="inlineStr">
        <is>
          <t>표준 발음법 제14항은 ㄽ의 뒤 ㅅ을 모음 앞에서 된소리로 연음하며 곬이[골씨]를 직접 예시한다.</t>
        </is>
      </c>
      <c r="O26" s="10" t="inlineStr">
        <is>
          <t>공식/사전 근거 열기</t>
        </is>
      </c>
      <c r="P26" s="9" t="inlineStr">
        <is>
          <t>SARW2500000503.1.1.51</t>
        </is>
      </c>
      <c r="Q26" s="10" t="inlineStr">
        <is>
          <t>WAV 듣기</t>
        </is>
      </c>
      <c r="R26" s="11" t="inlineStr">
        <is>
          <t>pending</t>
        </is>
      </c>
      <c r="S26" s="11" t="inlineStr"/>
      <c r="T26" s="12">
        <f>IF(R26="approve_recommended",I26,IF(R26="approve_alternative",K26,IF(R26="approve_custom",S26,"")))</f>
        <v/>
      </c>
      <c r="U26" s="11" t="inlineStr"/>
      <c r="V26" s="12">
        <f>IF(OR(R26="hold",R26="reject"),R26,IF(R26="pending","pending",IF(T26="","phone_required","ready_to_record")))</f>
        <v/>
      </c>
      <c r="W26" s="9" t="inlineStr">
        <is>
          <t>legitimate_surface_phonology</t>
        </is>
      </c>
      <c r="X26" s="9" t="inlineStr">
        <is>
          <t>원 표층키 외곬을을 유지하고 승인 phone만 적용</t>
        </is>
      </c>
    </row>
    <row r="27" ht="58" customHeight="1">
      <c r="A27" s="9" t="n">
        <v>26</v>
      </c>
      <c r="B27" s="9" t="inlineStr">
        <is>
          <t>jamo_ls</t>
        </is>
      </c>
      <c r="C27" s="9" t="inlineStr">
        <is>
          <t>외곬의</t>
        </is>
      </c>
      <c r="D27" s="9" t="n">
        <v>1</v>
      </c>
      <c r="E27" s="9" t="inlineStr">
        <is>
          <t>2025</t>
        </is>
      </c>
      <c r="F27" s="9" t="inlineStr">
        <is>
          <t>외골ᆺ의</t>
        </is>
      </c>
      <c r="G27" s="9" t="inlineStr">
        <is>
          <t>w eː ɡ o ɭ t̚ ɰ i</t>
        </is>
      </c>
      <c r="H27" s="9" t="inlineStr">
        <is>
          <t>외골씌</t>
        </is>
      </c>
      <c r="I27" s="9" t="inlineStr">
        <is>
          <t>w eː ɡ o ɭ ɕ͈ i</t>
        </is>
      </c>
      <c r="J27" s="9" t="inlineStr">
        <is>
          <t>외골쎄</t>
        </is>
      </c>
      <c r="K27" s="9" t="inlineStr">
        <is>
          <t>w eː ɡ o ɭ s͈ e</t>
        </is>
      </c>
      <c r="L27" s="9" t="inlineStr">
        <is>
          <t>researcher_audio_choice</t>
        </is>
      </c>
      <c r="M27" s="9" t="inlineStr">
        <is>
          <t>medium</t>
        </is>
      </c>
      <c r="N27" s="9" t="inlineStr">
        <is>
          <t>국립국어원은 [외골씌]를 원칙, [외골쎄]를 허용한다. form은 외곬의, original은 외곬에이므로 WAV 청취로 두 허용 후보 중 실제 발화에 맞는 값을 선택해야 한다.</t>
        </is>
      </c>
      <c r="O27" s="10" t="inlineStr">
        <is>
          <t>공식/사전 근거 열기</t>
        </is>
      </c>
      <c r="P27" s="9" t="inlineStr">
        <is>
          <t>SARW2500000503.1.1.54</t>
        </is>
      </c>
      <c r="Q27" s="10" t="inlineStr">
        <is>
          <t>WAV 듣기</t>
        </is>
      </c>
      <c r="R27" s="11" t="inlineStr">
        <is>
          <t>pending</t>
        </is>
      </c>
      <c r="S27" s="11" t="inlineStr"/>
      <c r="T27" s="12">
        <f>IF(R27="approve_recommended",I27,IF(R27="approve_alternative",K27,IF(R27="approve_custom",S27,"")))</f>
        <v/>
      </c>
      <c r="U27" s="11" t="inlineStr"/>
      <c r="V27" s="12">
        <f>IF(OR(R27="hold",R27="reject"),R27,IF(R27="pending","pending",IF(T27="","phone_required","ready_to_record")))</f>
        <v/>
      </c>
      <c r="W27" s="9" t="inlineStr">
        <is>
          <t>legitimate_surface_pronunciation_choice</t>
        </is>
      </c>
      <c r="X27" s="9" t="inlineStr">
        <is>
          <t>원칙/허용 발음 중 연구자 선택을 명시적으로 기록</t>
        </is>
      </c>
    </row>
    <row r="28" ht="58" customHeight="1">
      <c r="A28" s="9" t="n">
        <v>27</v>
      </c>
      <c r="B28" s="9" t="inlineStr">
        <is>
          <t>jamo_ls</t>
        </is>
      </c>
      <c r="C28" s="9" t="inlineStr">
        <is>
          <t>천구백칤비육</t>
        </is>
      </c>
      <c r="D28" s="9" t="n">
        <v>1</v>
      </c>
      <c r="E28" s="9" t="inlineStr">
        <is>
          <t>2021</t>
        </is>
      </c>
      <c r="F28" s="9" t="inlineStr">
        <is>
          <t>천구백칠ᆺ비육</t>
        </is>
      </c>
      <c r="G28" s="9" t="inlineStr">
        <is>
          <t>tɕʰ ʌ ŋ ɡ u b ɛː k̚ tɕʰ i ɭ t̚ pʲ i j u k̚</t>
        </is>
      </c>
      <c r="H28" s="9" t="inlineStr">
        <is>
          <t>천구백칠씸뉵</t>
        </is>
      </c>
      <c r="I28" s="9" t="inlineStr">
        <is>
          <t>tɕʰ ʌ ŋ ɡ u b ɛː k̚ tɕʰ i ɭ ɕ͈ i m ɲ u k̚</t>
        </is>
      </c>
      <c r="J28" s="9" t="inlineStr"/>
      <c r="K28" s="9" t="inlineStr"/>
      <c r="L28" s="9" t="inlineStr">
        <is>
          <t>numeric_placeholder_correction</t>
        </is>
      </c>
      <c r="M28" s="9" t="inlineStr">
        <is>
          <t>high</t>
        </is>
      </c>
      <c r="N28" s="9" t="inlineStr">
        <is>
          <t>form의 1976년을 original placeholder가 비정상 문자열로 복원한 사례다. 공식 자료의 칠십[칠씹], 십육[심뉵]을 결합한 규범 후보이며 동결 1-best probe에서도 재현됐다.</t>
        </is>
      </c>
      <c r="O28" s="10" t="inlineStr">
        <is>
          <t>공식/사전 근거 열기</t>
        </is>
      </c>
      <c r="P28" s="9" t="inlineStr">
        <is>
          <t>SDRW2100003843.1.1.46</t>
        </is>
      </c>
      <c r="Q28" s="10" t="inlineStr">
        <is>
          <t>WAV 듣기</t>
        </is>
      </c>
      <c r="R28" s="11" t="inlineStr">
        <is>
          <t>pending</t>
        </is>
      </c>
      <c r="S28" s="11" t="inlineStr"/>
      <c r="T28" s="12">
        <f>IF(R28="approve_recommended",I28,IF(R28="approve_alternative",K28,IF(R28="approve_custom",S28,"")))</f>
        <v/>
      </c>
      <c r="U28" s="11" t="inlineStr"/>
      <c r="V28" s="12">
        <f>IF(OR(R28="hold",R28="reject"),R28,IF(R28="pending","pending",IF(T28="","phone_required","ready_to_record")))</f>
        <v/>
      </c>
      <c r="W28" s="9" t="inlineStr">
        <is>
          <t>numeric_placeholder_correction_required</t>
        </is>
      </c>
      <c r="X28" s="9" t="inlineStr">
        <is>
          <t>raw placeholder는 보존; 1976→천구백칠십육 correction overlay와 승인 phone을 함께 기록</t>
        </is>
      </c>
    </row>
  </sheetData>
  <autoFilter ref="A1:X28"/>
  <conditionalFormatting sqref="R2:R28">
    <cfRule type="expression" priority="1" dxfId="0">
      <formula>R2="approve_recommended"</formula>
    </cfRule>
    <cfRule type="expression" priority="2" dxfId="1">
      <formula>OR(R2="hold",R2="reject")</formula>
    </cfRule>
  </conditionalFormatting>
  <conditionalFormatting sqref="V2:V28">
    <cfRule type="expression" priority="3" dxfId="0">
      <formula>V2="ready_to_record"</formula>
    </cfRule>
    <cfRule type="expression" priority="4" dxfId="1">
      <formula>V2="phone_required"</formula>
    </cfRule>
  </conditionalFormatting>
  <dataValidations count="1">
    <dataValidation sqref="R2:R28" showDropDown="0" showInputMessage="0" showErrorMessage="0" allowBlank="0" errorTitle="허용되지 않은 결정" error="목록에서 결정값을 선택하세요." promptTitle="연구자 결정" prompt="권고/대안/직접 승인 또는 hold/reject를 선택하세요." type="list">
      <formula1>"pending,approve_recommended,approve_alternative,approve_custom,hold,reject"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Q2" r:id="rId2"/>
    <hyperlink xmlns:r="http://schemas.openxmlformats.org/officeDocument/2006/relationships" ref="O3" r:id="rId3"/>
    <hyperlink xmlns:r="http://schemas.openxmlformats.org/officeDocument/2006/relationships" ref="Q3" r:id="rId4"/>
    <hyperlink xmlns:r="http://schemas.openxmlformats.org/officeDocument/2006/relationships" ref="O4" r:id="rId5"/>
    <hyperlink xmlns:r="http://schemas.openxmlformats.org/officeDocument/2006/relationships" ref="Q4" r:id="rId6"/>
    <hyperlink xmlns:r="http://schemas.openxmlformats.org/officeDocument/2006/relationships" ref="O5" r:id="rId7"/>
    <hyperlink xmlns:r="http://schemas.openxmlformats.org/officeDocument/2006/relationships" ref="Q5" r:id="rId8"/>
    <hyperlink xmlns:r="http://schemas.openxmlformats.org/officeDocument/2006/relationships" ref="O6" r:id="rId9"/>
    <hyperlink xmlns:r="http://schemas.openxmlformats.org/officeDocument/2006/relationships" ref="Q6" r:id="rId10"/>
    <hyperlink xmlns:r="http://schemas.openxmlformats.org/officeDocument/2006/relationships" ref="O7" r:id="rId11"/>
    <hyperlink xmlns:r="http://schemas.openxmlformats.org/officeDocument/2006/relationships" ref="Q7" r:id="rId12"/>
    <hyperlink xmlns:r="http://schemas.openxmlformats.org/officeDocument/2006/relationships" ref="O8" r:id="rId13"/>
    <hyperlink xmlns:r="http://schemas.openxmlformats.org/officeDocument/2006/relationships" ref="Q8" r:id="rId14"/>
    <hyperlink xmlns:r="http://schemas.openxmlformats.org/officeDocument/2006/relationships" ref="O9" r:id="rId15"/>
    <hyperlink xmlns:r="http://schemas.openxmlformats.org/officeDocument/2006/relationships" ref="Q9" r:id="rId16"/>
    <hyperlink xmlns:r="http://schemas.openxmlformats.org/officeDocument/2006/relationships" ref="O10" r:id="rId17"/>
    <hyperlink xmlns:r="http://schemas.openxmlformats.org/officeDocument/2006/relationships" ref="Q10" r:id="rId18"/>
    <hyperlink xmlns:r="http://schemas.openxmlformats.org/officeDocument/2006/relationships" ref="O11" r:id="rId19"/>
    <hyperlink xmlns:r="http://schemas.openxmlformats.org/officeDocument/2006/relationships" ref="Q11" r:id="rId20"/>
    <hyperlink xmlns:r="http://schemas.openxmlformats.org/officeDocument/2006/relationships" ref="O12" r:id="rId21"/>
    <hyperlink xmlns:r="http://schemas.openxmlformats.org/officeDocument/2006/relationships" ref="Q12" r:id="rId22"/>
    <hyperlink xmlns:r="http://schemas.openxmlformats.org/officeDocument/2006/relationships" ref="O13" r:id="rId23"/>
    <hyperlink xmlns:r="http://schemas.openxmlformats.org/officeDocument/2006/relationships" ref="Q13" r:id="rId24"/>
    <hyperlink xmlns:r="http://schemas.openxmlformats.org/officeDocument/2006/relationships" ref="O14" r:id="rId25"/>
    <hyperlink xmlns:r="http://schemas.openxmlformats.org/officeDocument/2006/relationships" ref="Q14" r:id="rId26"/>
    <hyperlink xmlns:r="http://schemas.openxmlformats.org/officeDocument/2006/relationships" ref="O15" r:id="rId27"/>
    <hyperlink xmlns:r="http://schemas.openxmlformats.org/officeDocument/2006/relationships" ref="Q15" r:id="rId28"/>
    <hyperlink xmlns:r="http://schemas.openxmlformats.org/officeDocument/2006/relationships" ref="O16" r:id="rId29"/>
    <hyperlink xmlns:r="http://schemas.openxmlformats.org/officeDocument/2006/relationships" ref="Q16" r:id="rId30"/>
    <hyperlink xmlns:r="http://schemas.openxmlformats.org/officeDocument/2006/relationships" ref="O17" r:id="rId31"/>
    <hyperlink xmlns:r="http://schemas.openxmlformats.org/officeDocument/2006/relationships" ref="Q17" r:id="rId32"/>
    <hyperlink xmlns:r="http://schemas.openxmlformats.org/officeDocument/2006/relationships" ref="O18" r:id="rId33"/>
    <hyperlink xmlns:r="http://schemas.openxmlformats.org/officeDocument/2006/relationships" ref="Q18" r:id="rId34"/>
    <hyperlink xmlns:r="http://schemas.openxmlformats.org/officeDocument/2006/relationships" ref="O19" r:id="rId35"/>
    <hyperlink xmlns:r="http://schemas.openxmlformats.org/officeDocument/2006/relationships" ref="Q19" r:id="rId36"/>
    <hyperlink xmlns:r="http://schemas.openxmlformats.org/officeDocument/2006/relationships" ref="O20" r:id="rId37"/>
    <hyperlink xmlns:r="http://schemas.openxmlformats.org/officeDocument/2006/relationships" ref="Q20" r:id="rId38"/>
    <hyperlink xmlns:r="http://schemas.openxmlformats.org/officeDocument/2006/relationships" ref="O21" r:id="rId39"/>
    <hyperlink xmlns:r="http://schemas.openxmlformats.org/officeDocument/2006/relationships" ref="Q21" r:id="rId40"/>
    <hyperlink xmlns:r="http://schemas.openxmlformats.org/officeDocument/2006/relationships" ref="O22" r:id="rId41"/>
    <hyperlink xmlns:r="http://schemas.openxmlformats.org/officeDocument/2006/relationships" ref="Q22" r:id="rId42"/>
    <hyperlink xmlns:r="http://schemas.openxmlformats.org/officeDocument/2006/relationships" ref="O23" r:id="rId43"/>
    <hyperlink xmlns:r="http://schemas.openxmlformats.org/officeDocument/2006/relationships" ref="Q23" r:id="rId44"/>
    <hyperlink xmlns:r="http://schemas.openxmlformats.org/officeDocument/2006/relationships" ref="O24" r:id="rId45"/>
    <hyperlink xmlns:r="http://schemas.openxmlformats.org/officeDocument/2006/relationships" ref="Q24" r:id="rId46"/>
    <hyperlink xmlns:r="http://schemas.openxmlformats.org/officeDocument/2006/relationships" ref="O25" r:id="rId47"/>
    <hyperlink xmlns:r="http://schemas.openxmlformats.org/officeDocument/2006/relationships" ref="Q25" r:id="rId48"/>
    <hyperlink xmlns:r="http://schemas.openxmlformats.org/officeDocument/2006/relationships" ref="O26" r:id="rId49"/>
    <hyperlink xmlns:r="http://schemas.openxmlformats.org/officeDocument/2006/relationships" ref="Q26" r:id="rId50"/>
    <hyperlink xmlns:r="http://schemas.openxmlformats.org/officeDocument/2006/relationships" ref="O27" r:id="rId51"/>
    <hyperlink xmlns:r="http://schemas.openxmlformats.org/officeDocument/2006/relationships" ref="Q27" r:id="rId52"/>
    <hyperlink xmlns:r="http://schemas.openxmlformats.org/officeDocument/2006/relationships" ref="O28" r:id="rId53"/>
    <hyperlink xmlns:r="http://schemas.openxmlformats.org/officeDocument/2006/relationships" ref="Q28" r:id="rId54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55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3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9" customWidth="1" min="4" max="4"/>
    <col width="29" customWidth="1" min="5" max="5"/>
    <col width="20" customWidth="1" min="6" max="6"/>
    <col width="14" customWidth="1" min="7" max="7"/>
    <col width="52" customWidth="1" min="8" max="8"/>
    <col width="52" customWidth="1" min="9" max="9"/>
    <col width="52" customWidth="1" min="10" max="10"/>
    <col width="27" customWidth="1" min="11" max="11"/>
    <col width="22" customWidth="1" min="12" max="12"/>
    <col width="18" customWidth="1" min="13" max="13"/>
    <col width="14" customWidth="1" min="14" max="14"/>
    <col width="14" customWidth="1" min="15" max="15"/>
    <col width="13" customWidth="1" min="16" max="16"/>
    <col width="68" customWidth="1" min="17" max="17"/>
  </cols>
  <sheetData>
    <row r="1" ht="34" customHeight="1">
      <c r="A1" s="8" t="inlineStr">
        <is>
          <t>review_order</t>
        </is>
      </c>
      <c r="B1" s="8" t="inlineStr">
        <is>
          <t>source_kind</t>
        </is>
      </c>
      <c r="C1" s="8" t="inlineStr">
        <is>
          <t>target_token</t>
        </is>
      </c>
      <c r="D1" s="8" t="inlineStr">
        <is>
          <t>year</t>
        </is>
      </c>
      <c r="E1" s="8" t="inlineStr">
        <is>
          <t>utt_id</t>
        </is>
      </c>
      <c r="F1" s="8" t="inlineStr">
        <is>
          <t>session_id</t>
        </is>
      </c>
      <c r="G1" s="8" t="inlineStr">
        <is>
          <t>speaker_id</t>
        </is>
      </c>
      <c r="H1" s="8" t="inlineStr">
        <is>
          <t>form</t>
        </is>
      </c>
      <c r="I1" s="8" t="inlineStr">
        <is>
          <t>original_form</t>
        </is>
      </c>
      <c r="J1" s="8" t="inlineStr">
        <is>
          <t>pron_reference_hangul</t>
        </is>
      </c>
      <c r="K1" s="8" t="inlineStr">
        <is>
          <t>pron_reference_source</t>
        </is>
      </c>
      <c r="L1" s="8" t="inlineStr">
        <is>
          <t>pron_reference_status</t>
        </is>
      </c>
      <c r="M1" s="8" t="inlineStr">
        <is>
          <t>raw_json_match_status</t>
        </is>
      </c>
      <c r="N1" s="8" t="inlineStr">
        <is>
          <t>review_wav</t>
        </is>
      </c>
      <c r="O1" s="8" t="inlineStr">
        <is>
          <t>original_wav</t>
        </is>
      </c>
      <c r="P1" s="8" t="inlineStr">
        <is>
          <t>wav_bytes</t>
        </is>
      </c>
      <c r="Q1" s="8" t="inlineStr">
        <is>
          <t>wav_sha256</t>
        </is>
      </c>
    </row>
    <row r="2" ht="54" customHeight="1">
      <c r="A2" s="9" t="inlineStr">
        <is>
          <t>1</t>
        </is>
      </c>
      <c r="B2" s="9" t="inlineStr">
        <is>
          <t>jamo_ls</t>
        </is>
      </c>
      <c r="C2" s="9" t="inlineStr">
        <is>
          <t>외곬수적인</t>
        </is>
      </c>
      <c r="D2" s="9" t="inlineStr">
        <is>
          <t>2022</t>
        </is>
      </c>
      <c r="E2" s="9" t="inlineStr">
        <is>
          <t>SDRW2200001054.1.1.156</t>
        </is>
      </c>
      <c r="F2" s="9" t="inlineStr">
        <is>
          <t>SDRW2200001054</t>
        </is>
      </c>
      <c r="G2" s="9" t="inlineStr">
        <is>
          <t>SD2201549</t>
        </is>
      </c>
      <c r="H2" s="9" t="inlineStr">
        <is>
          <t>사람들이 와와하니까 제가 좀 외곬수적인 반골 기질이 좀 있어서</t>
        </is>
      </c>
      <c r="I2" s="9" t="inlineStr">
        <is>
          <t>사람들이 와와하니까 제가 좀 외곬수적인 반골 기질이 좀 있어서</t>
        </is>
      </c>
      <c r="J2" s="9" t="inlineStr">
        <is>
          <t>사람드리 와와하니까 제가 좀 외골수저긴 반골 기지리 좀 이써서</t>
        </is>
      </c>
      <c r="K2" s="9" t="inlineStr">
        <is>
          <t>form_rule_prediction</t>
        </is>
      </c>
      <c r="L2" s="9" t="inlineStr">
        <is>
          <t>resolved_form</t>
        </is>
      </c>
      <c r="M2" s="9" t="inlineStr">
        <is>
          <t>exact</t>
        </is>
      </c>
      <c r="N2" s="10" t="inlineStr">
        <is>
          <t>검토 WAV</t>
        </is>
      </c>
      <c r="O2" s="10" t="inlineStr">
        <is>
          <t>원본 WAV</t>
        </is>
      </c>
      <c r="P2" s="9" t="inlineStr">
        <is>
          <t>120684</t>
        </is>
      </c>
      <c r="Q2" s="9" t="inlineStr">
        <is>
          <t>38a4afcadeb319c0d7301a7ce932174a166a6ecfa82eefde0d7b0f9f33cd6e91</t>
        </is>
      </c>
    </row>
    <row r="3" ht="54" customHeight="1">
      <c r="A3" s="9" t="inlineStr">
        <is>
          <t>2</t>
        </is>
      </c>
      <c r="B3" s="9" t="inlineStr">
        <is>
          <t>jamo_ls</t>
        </is>
      </c>
      <c r="C3" s="9" t="inlineStr">
        <is>
          <t>외곬을</t>
        </is>
      </c>
      <c r="D3" s="9" t="inlineStr">
        <is>
          <t>2025</t>
        </is>
      </c>
      <c r="E3" s="9" t="inlineStr">
        <is>
          <t>SARW2500000503.1.1.51</t>
        </is>
      </c>
      <c r="F3" s="9" t="inlineStr">
        <is>
          <t>SARW2500000503</t>
        </is>
      </c>
      <c r="G3" s="9" t="inlineStr">
        <is>
          <t>SD2502112</t>
        </is>
      </c>
      <c r="H3" s="9" t="inlineStr">
        <is>
          <t>이번에는 리을과 시옷이 합쳐진 외곬을 여러 가지 글씨체로 써 볼게요.</t>
        </is>
      </c>
      <c r="I3" s="9" t="inlineStr">
        <is>
          <t>이번에는 리을과 시옷이 합쳐진 외곬을 여러 가지 글씨체로 써 볼게요.</t>
        </is>
      </c>
      <c r="J3" s="9" t="inlineStr">
        <is>
          <t>이버네는 리을과 시오시 합쳐진 외골슬 여러 가지 글씨체로 써 볼게요</t>
        </is>
      </c>
      <c r="K3" s="9" t="inlineStr">
        <is>
          <t>form_rule_prediction</t>
        </is>
      </c>
      <c r="L3" s="9" t="inlineStr">
        <is>
          <t>resolved_form</t>
        </is>
      </c>
      <c r="M3" s="9" t="inlineStr">
        <is>
          <t>exact</t>
        </is>
      </c>
      <c r="N3" s="10" t="inlineStr">
        <is>
          <t>검토 WAV</t>
        </is>
      </c>
      <c r="O3" s="10" t="inlineStr">
        <is>
          <t>원본 WAV</t>
        </is>
      </c>
      <c r="P3" s="9" t="inlineStr">
        <is>
          <t>181098</t>
        </is>
      </c>
      <c r="Q3" s="9" t="inlineStr">
        <is>
          <t>fce3cde0b47c42afc0e2664c66382b95b55248bb3293519ac1635e9a7243cb87</t>
        </is>
      </c>
    </row>
    <row r="4" ht="54" customHeight="1">
      <c r="A4" s="9" t="inlineStr">
        <is>
          <t>3</t>
        </is>
      </c>
      <c r="B4" s="9" t="inlineStr">
        <is>
          <t>jamo_ls</t>
        </is>
      </c>
      <c r="C4" s="9" t="inlineStr">
        <is>
          <t>외곬의</t>
        </is>
      </c>
      <c r="D4" s="9" t="inlineStr">
        <is>
          <t>2025</t>
        </is>
      </c>
      <c r="E4" s="9" t="inlineStr">
        <is>
          <t>SARW2500000503.1.1.54</t>
        </is>
      </c>
      <c r="F4" s="9" t="inlineStr">
        <is>
          <t>SARW2500000503</t>
        </is>
      </c>
      <c r="G4" s="9" t="inlineStr">
        <is>
          <t>SD2502112</t>
        </is>
      </c>
      <c r="H4" s="9" t="inlineStr">
        <is>
          <t>외곬의 뜻과는 맞지 않는 분위기가 되지만</t>
        </is>
      </c>
      <c r="I4" s="9" t="inlineStr">
        <is>
          <t>외곬에 뜻과는 맞지 않는 분위기가 되지만</t>
        </is>
      </c>
      <c r="J4" s="9" t="inlineStr">
        <is>
          <t>외골싀 뜯꽈는 맏찌 안는 부뉘기가 되지만</t>
        </is>
      </c>
      <c r="K4" s="9" t="inlineStr">
        <is>
          <t>form_rule_prediction</t>
        </is>
      </c>
      <c r="L4" s="9" t="inlineStr">
        <is>
          <t>resolved_form</t>
        </is>
      </c>
      <c r="M4" s="9" t="inlineStr">
        <is>
          <t>exact</t>
        </is>
      </c>
      <c r="N4" s="10" t="inlineStr">
        <is>
          <t>검토 WAV</t>
        </is>
      </c>
      <c r="O4" s="10" t="inlineStr">
        <is>
          <t>원본 WAV</t>
        </is>
      </c>
      <c r="P4" s="9" t="inlineStr">
        <is>
          <t>92308</t>
        </is>
      </c>
      <c r="Q4" s="9" t="inlineStr">
        <is>
          <t>b7ca0bfd180891d800934da3d203dcfa06e1fd65735d800e9a3731a73110d1f6</t>
        </is>
      </c>
    </row>
    <row r="5" ht="54" customHeight="1">
      <c r="A5" s="9" t="inlineStr">
        <is>
          <t>4</t>
        </is>
      </c>
      <c r="B5" s="9" t="inlineStr">
        <is>
          <t>jamo_ls</t>
        </is>
      </c>
      <c r="C5" s="9" t="inlineStr">
        <is>
          <t>천구백칤비육</t>
        </is>
      </c>
      <c r="D5" s="9" t="inlineStr">
        <is>
          <t>2021</t>
        </is>
      </c>
      <c r="E5" s="9" t="inlineStr">
        <is>
          <t>SDRW2100003843.1.1.46</t>
        </is>
      </c>
      <c r="F5" s="9" t="inlineStr">
        <is>
          <t>SDRW2100003843</t>
        </is>
      </c>
      <c r="G5" s="9" t="inlineStr">
        <is>
          <t>SD2101463</t>
        </is>
      </c>
      <c r="H5" s="9" t="inlineStr">
        <is>
          <t>1976년 간</t>
        </is>
      </c>
      <c r="I5" s="9" t="inlineStr">
        <is>
          <t>천구백칤비육 년 간</t>
        </is>
      </c>
      <c r="J5" s="9" t="inlineStr">
        <is>
          <t>천구백칠비육 년 간</t>
        </is>
      </c>
      <c r="K5" s="9" t="inlineStr">
        <is>
          <t>original_form_placeholder_resolution</t>
        </is>
      </c>
      <c r="L5" s="9" t="inlineStr">
        <is>
          <t>resolved_original_form</t>
        </is>
      </c>
      <c r="M5" s="9" t="inlineStr">
        <is>
          <t>exact</t>
        </is>
      </c>
      <c r="N5" s="10" t="inlineStr">
        <is>
          <t>검토 WAV</t>
        </is>
      </c>
      <c r="O5" s="10" t="inlineStr">
        <is>
          <t>원본 WAV</t>
        </is>
      </c>
      <c r="P5" s="9" t="inlineStr">
        <is>
          <t>69480</t>
        </is>
      </c>
      <c r="Q5" s="9" t="inlineStr">
        <is>
          <t>553387b9974b203e027cb25d2f8a0af00867d2051250c85a3d4108cb8351cc99</t>
        </is>
      </c>
    </row>
    <row r="6" ht="54" customHeight="1">
      <c r="A6" s="9" t="inlineStr">
        <is>
          <t>5</t>
        </is>
      </c>
      <c r="B6" s="9" t="inlineStr">
        <is>
          <t>no_path</t>
        </is>
      </c>
      <c r="C6" s="9" t="inlineStr">
        <is>
          <t>읊고</t>
        </is>
      </c>
      <c r="D6" s="9" t="inlineStr">
        <is>
          <t>2023</t>
        </is>
      </c>
      <c r="E6" s="9" t="inlineStr">
        <is>
          <t>SDRW2300000205.1.1.80</t>
        </is>
      </c>
      <c r="F6" s="9" t="inlineStr">
        <is>
          <t>SDRW2300000205</t>
        </is>
      </c>
      <c r="G6" s="9" t="inlineStr">
        <is>
          <t>SD2300199</t>
        </is>
      </c>
      <c r="H6" s="9" t="inlineStr">
        <is>
          <t>막 특징을 다 읊고 그러는데 전 딱 제 것만 알아 가지고</t>
        </is>
      </c>
      <c r="I6" s="9" t="inlineStr">
        <is>
          <t>막 특징을 다 읊고 그러는데 전 딱 제 것만 알아 가지고</t>
        </is>
      </c>
      <c r="J6" s="9" t="inlineStr">
        <is>
          <t>막 특찡을 다 읍꼬 그러는데 전 딱 제 건만 아라 가지고</t>
        </is>
      </c>
      <c r="K6" s="9" t="inlineStr">
        <is>
          <t>form_rule_prediction</t>
        </is>
      </c>
      <c r="L6" s="9" t="inlineStr">
        <is>
          <t>resolved_form</t>
        </is>
      </c>
      <c r="M6" s="9" t="inlineStr">
        <is>
          <t>exact</t>
        </is>
      </c>
      <c r="N6" s="10" t="inlineStr">
        <is>
          <t>검토 WAV</t>
        </is>
      </c>
      <c r="O6" s="10" t="inlineStr">
        <is>
          <t>원본 WAV</t>
        </is>
      </c>
      <c r="P6" s="9" t="inlineStr">
        <is>
          <t>127564</t>
        </is>
      </c>
      <c r="Q6" s="9" t="inlineStr">
        <is>
          <t>48a7778b466e9af2614548b0d17b1b79ac725148f10bbe136e38b7c974c35e1e</t>
        </is>
      </c>
    </row>
    <row r="7" ht="54" customHeight="1">
      <c r="A7" s="9" t="inlineStr">
        <is>
          <t>6</t>
        </is>
      </c>
      <c r="B7" s="9" t="inlineStr">
        <is>
          <t>no_path</t>
        </is>
      </c>
      <c r="C7" s="9" t="inlineStr">
        <is>
          <t>읊는</t>
        </is>
      </c>
      <c r="D7" s="9" t="inlineStr">
        <is>
          <t>2022</t>
        </is>
      </c>
      <c r="E7" s="9" t="inlineStr">
        <is>
          <t>SDRW2200001192.1.1.182</t>
        </is>
      </c>
      <c r="F7" s="9" t="inlineStr">
        <is>
          <t>SDRW2200001192</t>
        </is>
      </c>
      <c r="G7" s="9" t="inlineStr">
        <is>
          <t>SD2211259</t>
        </is>
      </c>
      <c r="H7" s="9" t="inlineStr">
        <is>
          <t>읊는 게 아니라 그냥</t>
        </is>
      </c>
      <c r="I7" s="9" t="inlineStr">
        <is>
          <t>읊는 게 아니라 그냥</t>
        </is>
      </c>
      <c r="J7" s="9" t="inlineStr">
        <is>
          <t>음는 게 아니라 그냥</t>
        </is>
      </c>
      <c r="K7" s="9" t="inlineStr">
        <is>
          <t>form_rule_prediction</t>
        </is>
      </c>
      <c r="L7" s="9" t="inlineStr">
        <is>
          <t>resolved_form</t>
        </is>
      </c>
      <c r="M7" s="9" t="inlineStr">
        <is>
          <t>exact</t>
        </is>
      </c>
      <c r="N7" s="10" t="inlineStr">
        <is>
          <t>검토 WAV</t>
        </is>
      </c>
      <c r="O7" s="10" t="inlineStr">
        <is>
          <t>원본 WAV</t>
        </is>
      </c>
      <c r="P7" s="9" t="inlineStr">
        <is>
          <t>35244</t>
        </is>
      </c>
      <c r="Q7" s="9" t="inlineStr">
        <is>
          <t>69b1e1246473d6e98a4c146f880f62a862fe058e2e840c25421aa9685aa17715</t>
        </is>
      </c>
    </row>
    <row r="8" ht="54" customHeight="1">
      <c r="A8" s="9" t="inlineStr">
        <is>
          <t>7</t>
        </is>
      </c>
      <c r="B8" s="9" t="inlineStr">
        <is>
          <t>no_path</t>
        </is>
      </c>
      <c r="C8" s="9" t="inlineStr">
        <is>
          <t>읊는</t>
        </is>
      </c>
      <c r="D8" s="9" t="inlineStr">
        <is>
          <t>2023</t>
        </is>
      </c>
      <c r="E8" s="9" t="inlineStr">
        <is>
          <t>SDRW2300000337.1.1.143</t>
        </is>
      </c>
      <c r="F8" s="9" t="inlineStr">
        <is>
          <t>SDRW2300000337</t>
        </is>
      </c>
      <c r="G8" s="9" t="inlineStr">
        <is>
          <t>SD2300313</t>
        </is>
      </c>
      <c r="H8" s="9" t="inlineStr">
        <is>
          <t>그래서 아마 복진이도 이름처럼 복이 많아 가지고 3년 되니까 풍월을 읊는 강아지가 된 거 같아서 너무 예쁜 거 같아요.</t>
        </is>
      </c>
      <c r="I8" s="9" t="inlineStr">
        <is>
          <t>그서 아마 복진이도 이름처럼 복이 많아 가지고 삼 년 되니까 풍월을 읊는 강아지가 된 거 같아서 너무 예쁜 거 같아요.</t>
        </is>
      </c>
      <c r="J8" s="9" t="inlineStr">
        <is>
          <t>그서 아마 복찌니도 이름처럼 보기 마나 가지고 삼 년 되니까 풍워를 음는 강아지가 된 거 가타서 너무 예쁜 거 가타요</t>
        </is>
      </c>
      <c r="K8" s="9" t="inlineStr">
        <is>
          <t>original_form_placeholder_resolution</t>
        </is>
      </c>
      <c r="L8" s="9" t="inlineStr">
        <is>
          <t>resolved_original_form</t>
        </is>
      </c>
      <c r="M8" s="9" t="inlineStr">
        <is>
          <t>exact</t>
        </is>
      </c>
      <c r="N8" s="10" t="inlineStr">
        <is>
          <t>검토 WAV</t>
        </is>
      </c>
      <c r="O8" s="10" t="inlineStr">
        <is>
          <t>원본 WAV</t>
        </is>
      </c>
      <c r="P8" s="9" t="inlineStr">
        <is>
          <t>240204</t>
        </is>
      </c>
      <c r="Q8" s="9" t="inlineStr">
        <is>
          <t>a82b339496f3d36198a2f339df1dfb30d348612706fd08bdabdc9af98adc6381</t>
        </is>
      </c>
    </row>
    <row r="9" ht="54" customHeight="1">
      <c r="A9" s="9" t="inlineStr">
        <is>
          <t>8</t>
        </is>
      </c>
      <c r="B9" s="9" t="inlineStr">
        <is>
          <t>no_path</t>
        </is>
      </c>
      <c r="C9" s="9" t="inlineStr">
        <is>
          <t>읊는다고</t>
        </is>
      </c>
      <c r="D9" s="9" t="inlineStr">
        <is>
          <t>2024</t>
        </is>
      </c>
      <c r="E9" s="9" t="inlineStr">
        <is>
          <t>SDRW2400000652.1.1.50</t>
        </is>
      </c>
      <c r="F9" s="9" t="inlineStr">
        <is>
          <t>SDRW2400000652</t>
        </is>
      </c>
      <c r="G9" s="9" t="inlineStr">
        <is>
          <t>SD2400823</t>
        </is>
      </c>
      <c r="H9" s="9" t="inlineStr">
        <is>
          <t>이제 서당개도 3년이면 풍월을 읊는다고 이제 엔간한 국악 뭐 무대라든지 곡조라든지 그런 것들은 다 알게 됐고.</t>
        </is>
      </c>
      <c r="I9" s="9" t="inlineStr">
        <is>
          <t>이제 서당개도 삼 년이면 풍월을 읊는다고 이제 엔간한 국악 뭐~ 무대라든지 곡조라든지 그런 것들은 다 알게 됐고.</t>
        </is>
      </c>
      <c r="J9" s="9" t="inlineStr">
        <is>
          <t>이제 서당개도 삼 녀니면 풍워를 음는다고 이제 엔간한 구각 뭐 무대라든지 곡쪼라든지 그런 걷뜨른 다 알게 됃꼬</t>
        </is>
      </c>
      <c r="K9" s="9" t="inlineStr">
        <is>
          <t>original_form_placeholder_resolution</t>
        </is>
      </c>
      <c r="L9" s="9" t="inlineStr">
        <is>
          <t>resolved_original_form</t>
        </is>
      </c>
      <c r="M9" s="9" t="inlineStr">
        <is>
          <t>exact</t>
        </is>
      </c>
      <c r="N9" s="10" t="inlineStr">
        <is>
          <t>검토 WAV</t>
        </is>
      </c>
      <c r="O9" s="10" t="inlineStr">
        <is>
          <t>원본 WAV</t>
        </is>
      </c>
      <c r="P9" s="9" t="inlineStr">
        <is>
          <t>373014</t>
        </is>
      </c>
      <c r="Q9" s="9" t="inlineStr">
        <is>
          <t>08804738293f7150d014ca2a3dae21cf024c6da2a40dd7ae4f77c443f8d4dec0</t>
        </is>
      </c>
    </row>
    <row r="10" ht="54" customHeight="1">
      <c r="A10" s="9" t="inlineStr">
        <is>
          <t>9</t>
        </is>
      </c>
      <c r="B10" s="9" t="inlineStr">
        <is>
          <t>no_path</t>
        </is>
      </c>
      <c r="C10" s="9" t="inlineStr">
        <is>
          <t>읊는다는</t>
        </is>
      </c>
      <c r="D10" s="9" t="inlineStr">
        <is>
          <t>2021</t>
        </is>
      </c>
      <c r="E10" s="9" t="inlineStr">
        <is>
          <t>SDRW2100004088.1.1.138</t>
        </is>
      </c>
      <c r="F10" s="9" t="inlineStr">
        <is>
          <t>SDRW2100004088</t>
        </is>
      </c>
      <c r="G10" s="9" t="inlineStr">
        <is>
          <t>SD2103155</t>
        </is>
      </c>
      <c r="H10" s="9" t="inlineStr">
        <is>
          <t>뭐 풍 풍월을 읊는다는 그런</t>
        </is>
      </c>
      <c r="I10" s="9" t="inlineStr">
        <is>
          <t>뭐 풍 풍월을 읊는다는 그런</t>
        </is>
      </c>
      <c r="J10" s="9" t="inlineStr">
        <is>
          <t>뭐 풍 풍워를 음는다는 그런</t>
        </is>
      </c>
      <c r="K10" s="9" t="inlineStr">
        <is>
          <t>form_rule_prediction</t>
        </is>
      </c>
      <c r="L10" s="9" t="inlineStr">
        <is>
          <t>resolved_form</t>
        </is>
      </c>
      <c r="M10" s="9" t="inlineStr">
        <is>
          <t>exact</t>
        </is>
      </c>
      <c r="N10" s="10" t="inlineStr">
        <is>
          <t>검토 WAV</t>
        </is>
      </c>
      <c r="O10" s="10" t="inlineStr">
        <is>
          <t>원본 WAV</t>
        </is>
      </c>
      <c r="P10" s="9" t="inlineStr">
        <is>
          <t>92520</t>
        </is>
      </c>
      <c r="Q10" s="9" t="inlineStr">
        <is>
          <t>b19a461e9bd5343d45b697416d92696751f701a11d6e5f8f7aa4ccbb7244f874</t>
        </is>
      </c>
    </row>
    <row r="11" ht="54" customHeight="1">
      <c r="A11" s="9" t="inlineStr">
        <is>
          <t>10</t>
        </is>
      </c>
      <c r="B11" s="9" t="inlineStr">
        <is>
          <t>no_path</t>
        </is>
      </c>
      <c r="C11" s="9" t="inlineStr">
        <is>
          <t>읊는다잖아요</t>
        </is>
      </c>
      <c r="D11" s="9" t="inlineStr">
        <is>
          <t>2023</t>
        </is>
      </c>
      <c r="E11" s="9" t="inlineStr">
        <is>
          <t>SDRW2300000337.1.1.142</t>
        </is>
      </c>
      <c r="F11" s="9" t="inlineStr">
        <is>
          <t>SDRW2300000337</t>
        </is>
      </c>
      <c r="G11" s="9" t="inlineStr">
        <is>
          <t>SD2300313</t>
        </is>
      </c>
      <c r="H11" s="9" t="inlineStr">
        <is>
          <t>원래 속담에 서당개가 3년이면 풍월을 읊는다잖아요.</t>
        </is>
      </c>
      <c r="I11" s="9" t="inlineStr">
        <is>
          <t>원래 속담에 서당개가 삼 년이면 풍월을 읊는다잖아요.</t>
        </is>
      </c>
      <c r="J11" s="9" t="inlineStr">
        <is>
          <t>월래 속따메 서당개가 삼 녀니면 풍워를 음는다자나요</t>
        </is>
      </c>
      <c r="K11" s="9" t="inlineStr">
        <is>
          <t>original_form_placeholder_resolution</t>
        </is>
      </c>
      <c r="L11" s="9" t="inlineStr">
        <is>
          <t>resolved_original_form</t>
        </is>
      </c>
      <c r="M11" s="9" t="inlineStr">
        <is>
          <t>exact</t>
        </is>
      </c>
      <c r="N11" s="10" t="inlineStr">
        <is>
          <t>검토 WAV</t>
        </is>
      </c>
      <c r="O11" s="10" t="inlineStr">
        <is>
          <t>원본 WAV</t>
        </is>
      </c>
      <c r="P11" s="9" t="inlineStr">
        <is>
          <t>126252</t>
        </is>
      </c>
      <c r="Q11" s="9" t="inlineStr">
        <is>
          <t>9e961cae3327654b9418a81aa4b15e0fcd26048e91e12ad2f61c07f072c1fc71</t>
        </is>
      </c>
    </row>
    <row r="12" ht="54" customHeight="1">
      <c r="A12" s="9" t="inlineStr">
        <is>
          <t>11</t>
        </is>
      </c>
      <c r="B12" s="9" t="inlineStr">
        <is>
          <t>no_path</t>
        </is>
      </c>
      <c r="C12" s="9" t="inlineStr">
        <is>
          <t>읊어놓고</t>
        </is>
      </c>
      <c r="D12" s="9" t="inlineStr">
        <is>
          <t>2020</t>
        </is>
      </c>
      <c r="E12" s="9" t="inlineStr">
        <is>
          <t>SDRW2000002214.1.1.232</t>
        </is>
      </c>
      <c r="F12" s="9" t="inlineStr">
        <is>
          <t>SDRW2000002214</t>
        </is>
      </c>
      <c r="G12" s="9" t="inlineStr">
        <is>
          <t>SD2001370</t>
        </is>
      </c>
      <c r="H12" s="9" t="inlineStr">
        <is>
          <t>읊어놓고 있잖아.</t>
        </is>
      </c>
      <c r="I12" s="9" t="inlineStr">
        <is>
          <t>읊어놓고 있잖아.</t>
        </is>
      </c>
      <c r="J12" s="9" t="inlineStr">
        <is>
          <t>을퍼노코 읻짜나</t>
        </is>
      </c>
      <c r="K12" s="9" t="inlineStr">
        <is>
          <t>form_rule_prediction</t>
        </is>
      </c>
      <c r="L12" s="9" t="inlineStr">
        <is>
          <t>resolved_form</t>
        </is>
      </c>
      <c r="M12" s="9" t="inlineStr">
        <is>
          <t>exact</t>
        </is>
      </c>
      <c r="N12" s="10" t="inlineStr">
        <is>
          <t>검토 WAV</t>
        </is>
      </c>
      <c r="O12" s="10" t="inlineStr">
        <is>
          <t>원본 WAV</t>
        </is>
      </c>
      <c r="P12" s="9" t="inlineStr">
        <is>
          <t>68684</t>
        </is>
      </c>
      <c r="Q12" s="9" t="inlineStr">
        <is>
          <t>4f4f7876ac64f0becf154dcce0321e3308ca2290a3b77e1e6db6961fcc8fa0f9</t>
        </is>
      </c>
    </row>
    <row r="13" ht="54" customHeight="1">
      <c r="A13" s="9" t="inlineStr">
        <is>
          <t>12</t>
        </is>
      </c>
      <c r="B13" s="9" t="inlineStr">
        <is>
          <t>no_path</t>
        </is>
      </c>
      <c r="C13" s="9" t="inlineStr">
        <is>
          <t>읊어보라고</t>
        </is>
      </c>
      <c r="D13" s="9" t="inlineStr">
        <is>
          <t>2020</t>
        </is>
      </c>
      <c r="E13" s="9" t="inlineStr">
        <is>
          <t>SDRW2000001801.1.1.66</t>
        </is>
      </c>
      <c r="F13" s="9" t="inlineStr">
        <is>
          <t>SDRW2000001801</t>
        </is>
      </c>
      <c r="G13" s="9" t="inlineStr">
        <is>
          <t>SD2002222</t>
        </is>
      </c>
      <c r="H13" s="9" t="inlineStr">
        <is>
          <t>그 스케줄을 누가 읊어보라고 하면</t>
        </is>
      </c>
      <c r="I13" s="9" t="inlineStr">
        <is>
          <t>그 스케줄을 누가 읊어보라고 하면</t>
        </is>
      </c>
      <c r="J13" s="9" t="inlineStr">
        <is>
          <t>그 스케주를 누가 을퍼보라고 하면</t>
        </is>
      </c>
      <c r="K13" s="9" t="inlineStr">
        <is>
          <t>form_rule_prediction</t>
        </is>
      </c>
      <c r="L13" s="9" t="inlineStr">
        <is>
          <t>resolved_form</t>
        </is>
      </c>
      <c r="M13" s="9" t="inlineStr">
        <is>
          <t>exact</t>
        </is>
      </c>
      <c r="N13" s="10" t="inlineStr">
        <is>
          <t>검토 WAV</t>
        </is>
      </c>
      <c r="O13" s="10" t="inlineStr">
        <is>
          <t>원본 WAV</t>
        </is>
      </c>
      <c r="P13" s="9" t="inlineStr">
        <is>
          <t>90956</t>
        </is>
      </c>
      <c r="Q13" s="9" t="inlineStr">
        <is>
          <t>9b61ce1f9b928e8cdc76048120d33e3d8f07090774111d33969bcf5220ddcfe3</t>
        </is>
      </c>
    </row>
    <row r="14" ht="54" customHeight="1">
      <c r="A14" s="9" t="inlineStr">
        <is>
          <t>13</t>
        </is>
      </c>
      <c r="B14" s="9" t="inlineStr">
        <is>
          <t>no_path</t>
        </is>
      </c>
      <c r="C14" s="9" t="inlineStr">
        <is>
          <t>읊어봐</t>
        </is>
      </c>
      <c r="D14" s="9" t="inlineStr">
        <is>
          <t>2021</t>
        </is>
      </c>
      <c r="E14" s="9" t="inlineStr">
        <is>
          <t>SDRW2100001599.1.1.59</t>
        </is>
      </c>
      <c r="F14" s="9" t="inlineStr">
        <is>
          <t>SDRW2100001599</t>
        </is>
      </c>
      <c r="G14" s="9" t="inlineStr">
        <is>
          <t>SD2101599</t>
        </is>
      </c>
      <c r="H14" s="9" t="inlineStr">
        <is>
          <t>무슨 얘기했는지 읊어봐.</t>
        </is>
      </c>
      <c r="I14" s="9" t="inlineStr">
        <is>
          <t>무슨 얘기했는지 일퍼봐.</t>
        </is>
      </c>
      <c r="J14" s="9" t="inlineStr">
        <is>
          <t>무슨 얘기핸는지 을퍼봐</t>
        </is>
      </c>
      <c r="K14" s="9" t="inlineStr">
        <is>
          <t>form_rule_prediction</t>
        </is>
      </c>
      <c r="L14" s="9" t="inlineStr">
        <is>
          <t>resolved_form</t>
        </is>
      </c>
      <c r="M14" s="9" t="inlineStr">
        <is>
          <t>exact</t>
        </is>
      </c>
      <c r="N14" s="10" t="inlineStr">
        <is>
          <t>검토 WAV</t>
        </is>
      </c>
      <c r="O14" s="10" t="inlineStr">
        <is>
          <t>원본 WAV</t>
        </is>
      </c>
      <c r="P14" s="9" t="inlineStr">
        <is>
          <t>65004</t>
        </is>
      </c>
      <c r="Q14" s="9" t="inlineStr">
        <is>
          <t>13ac8e29587083eff9fe7748f984800dfcb87f8a777d8e216f4c671a6f8bdc5b</t>
        </is>
      </c>
    </row>
    <row r="15" ht="54" customHeight="1">
      <c r="A15" s="9" t="inlineStr">
        <is>
          <t>14</t>
        </is>
      </c>
      <c r="B15" s="9" t="inlineStr">
        <is>
          <t>no_path</t>
        </is>
      </c>
      <c r="C15" s="9" t="inlineStr">
        <is>
          <t>읊어서</t>
        </is>
      </c>
      <c r="D15" s="9" t="inlineStr">
        <is>
          <t>2024</t>
        </is>
      </c>
      <c r="E15" s="9" t="inlineStr">
        <is>
          <t>SDRW2400001199.1.1.58</t>
        </is>
      </c>
      <c r="F15" s="9" t="inlineStr">
        <is>
          <t>SDRW2400001199</t>
        </is>
      </c>
      <c r="G15" s="9" t="inlineStr">
        <is>
          <t>SD2401002</t>
        </is>
      </c>
      <c r="H15" s="9" t="inlineStr">
        <is>
          <t>요즘은 사랑을 아주 시로 읊어서</t>
        </is>
      </c>
      <c r="I15" s="9" t="inlineStr">
        <is>
          <t>요즘은 사랑을 아주 시로 을버서</t>
        </is>
      </c>
      <c r="J15" s="9" t="inlineStr">
        <is>
          <t>요즈믄 사랑을 아주 시로 을퍼서</t>
        </is>
      </c>
      <c r="K15" s="9" t="inlineStr">
        <is>
          <t>form_rule_prediction</t>
        </is>
      </c>
      <c r="L15" s="9" t="inlineStr">
        <is>
          <t>resolved_form</t>
        </is>
      </c>
      <c r="M15" s="9" t="inlineStr">
        <is>
          <t>exact</t>
        </is>
      </c>
      <c r="N15" s="10" t="inlineStr">
        <is>
          <t>검토 WAV</t>
        </is>
      </c>
      <c r="O15" s="10" t="inlineStr">
        <is>
          <t>원본 WAV</t>
        </is>
      </c>
      <c r="P15" s="9" t="inlineStr">
        <is>
          <t>96986</t>
        </is>
      </c>
      <c r="Q15" s="9" t="inlineStr">
        <is>
          <t>78af269086c5b5b50ed53ba3d7d27ff554007e5ab933623a054491ccccdd96cc</t>
        </is>
      </c>
    </row>
    <row r="16" ht="54" customHeight="1">
      <c r="A16" s="9" t="inlineStr">
        <is>
          <t>15</t>
        </is>
      </c>
      <c r="B16" s="9" t="inlineStr">
        <is>
          <t>no_path</t>
        </is>
      </c>
      <c r="C16" s="9" t="inlineStr">
        <is>
          <t>읊어야</t>
        </is>
      </c>
      <c r="D16" s="9" t="inlineStr">
        <is>
          <t>2021</t>
        </is>
      </c>
      <c r="E16" s="9" t="inlineStr">
        <is>
          <t>SDRW2100001722.1.1.56</t>
        </is>
      </c>
      <c r="F16" s="9" t="inlineStr">
        <is>
          <t>SDRW2100001722</t>
        </is>
      </c>
      <c r="G16" s="9" t="inlineStr">
        <is>
          <t>SD2101678</t>
        </is>
      </c>
      <c r="H16" s="9" t="inlineStr">
        <is>
          <t>차 모이면서 그거를 읊어야 된다는 거야.</t>
        </is>
      </c>
      <c r="I16" s="9" t="inlineStr">
        <is>
          <t>차 모이면서 그거를 읊어야 된다는 거야.</t>
        </is>
      </c>
      <c r="J16" s="9" t="inlineStr">
        <is>
          <t>차 모이면서 그거를 을퍼야 된다는 거야</t>
        </is>
      </c>
      <c r="K16" s="9" t="inlineStr">
        <is>
          <t>form_rule_prediction</t>
        </is>
      </c>
      <c r="L16" s="9" t="inlineStr">
        <is>
          <t>resolved_form</t>
        </is>
      </c>
      <c r="M16" s="9" t="inlineStr">
        <is>
          <t>exact</t>
        </is>
      </c>
      <c r="N16" s="10" t="inlineStr">
        <is>
          <t>검토 WAV</t>
        </is>
      </c>
      <c r="O16" s="10" t="inlineStr">
        <is>
          <t>원본 WAV</t>
        </is>
      </c>
      <c r="P16" s="9" t="inlineStr">
        <is>
          <t>102440</t>
        </is>
      </c>
      <c r="Q16" s="9" t="inlineStr">
        <is>
          <t>920d4f3c56050561874734932fe0d509fcabcce37ad2a171607f1eed70cf40e6</t>
        </is>
      </c>
    </row>
    <row r="17" ht="54" customHeight="1">
      <c r="A17" s="9" t="inlineStr">
        <is>
          <t>16</t>
        </is>
      </c>
      <c r="B17" s="9" t="inlineStr">
        <is>
          <t>no_path</t>
        </is>
      </c>
      <c r="C17" s="9" t="inlineStr">
        <is>
          <t>읊어졌다는데</t>
        </is>
      </c>
      <c r="D17" s="9" t="inlineStr">
        <is>
          <t>2023</t>
        </is>
      </c>
      <c r="E17" s="9" t="inlineStr">
        <is>
          <t>SDRW2300001424.1.1.214</t>
        </is>
      </c>
      <c r="F17" s="9" t="inlineStr">
        <is>
          <t>SDRW2300001424</t>
        </is>
      </c>
      <c r="G17" s="9" t="inlineStr">
        <is>
          <t>SD2301593</t>
        </is>
      </c>
      <c r="H17" s="9" t="inlineStr">
        <is>
          <t>이런 식으로 편지 내용이 읊어졌다는데</t>
        </is>
      </c>
      <c r="I17" s="9" t="inlineStr">
        <is>
          <t>이런 식으로 편지 내용이 읊어졌대는데</t>
        </is>
      </c>
      <c r="J17" s="9" t="inlineStr">
        <is>
          <t>이런 시그로 편지 내용이 을퍼젿따는데</t>
        </is>
      </c>
      <c r="K17" s="9" t="inlineStr">
        <is>
          <t>form_rule_prediction</t>
        </is>
      </c>
      <c r="L17" s="9" t="inlineStr">
        <is>
          <t>resolved_form</t>
        </is>
      </c>
      <c r="M17" s="9" t="inlineStr">
        <is>
          <t>exact</t>
        </is>
      </c>
      <c r="N17" s="10" t="inlineStr">
        <is>
          <t>검토 WAV</t>
        </is>
      </c>
      <c r="O17" s="10" t="inlineStr">
        <is>
          <t>원본 WAV</t>
        </is>
      </c>
      <c r="P17" s="9" t="inlineStr">
        <is>
          <t>81004</t>
        </is>
      </c>
      <c r="Q17" s="9" t="inlineStr">
        <is>
          <t>1a0a1983a7a5c604853b86578439d307ffb9ca83d5f899274987f93d92a00701</t>
        </is>
      </c>
    </row>
    <row r="18" ht="54" customHeight="1">
      <c r="A18" s="9" t="inlineStr">
        <is>
          <t>17</t>
        </is>
      </c>
      <c r="B18" s="9" t="inlineStr">
        <is>
          <t>no_path</t>
        </is>
      </c>
      <c r="C18" s="9" t="inlineStr">
        <is>
          <t>읊어주겠니</t>
        </is>
      </c>
      <c r="D18" s="9" t="inlineStr">
        <is>
          <t>2023</t>
        </is>
      </c>
      <c r="E18" s="9" t="inlineStr">
        <is>
          <t>SDRW2300001040.1.1.303</t>
        </is>
      </c>
      <c r="F18" s="9" t="inlineStr">
        <is>
          <t>SDRW2300001040</t>
        </is>
      </c>
      <c r="G18" s="9" t="inlineStr">
        <is>
          <t>SD2301140</t>
        </is>
      </c>
      <c r="H18" s="9" t="inlineStr">
        <is>
          <t>읊어주겠니?</t>
        </is>
      </c>
      <c r="I18" s="9" t="inlineStr">
        <is>
          <t>읊어주겠니?</t>
        </is>
      </c>
      <c r="J18" s="9" t="inlineStr">
        <is>
          <t>을퍼주겐니</t>
        </is>
      </c>
      <c r="K18" s="9" t="inlineStr">
        <is>
          <t>form_rule_prediction</t>
        </is>
      </c>
      <c r="L18" s="9" t="inlineStr">
        <is>
          <t>resolved_form</t>
        </is>
      </c>
      <c r="M18" s="9" t="inlineStr">
        <is>
          <t>exact</t>
        </is>
      </c>
      <c r="N18" s="10" t="inlineStr">
        <is>
          <t>검토 WAV</t>
        </is>
      </c>
      <c r="O18" s="10" t="inlineStr">
        <is>
          <t>원본 WAV</t>
        </is>
      </c>
      <c r="P18" s="9" t="inlineStr">
        <is>
          <t>40300</t>
        </is>
      </c>
      <c r="Q18" s="9" t="inlineStr">
        <is>
          <t>73a13b4fae9d5cc7258672d8bbb5619e9de1d81535d46bf9d4602fc5634673a8</t>
        </is>
      </c>
    </row>
    <row r="19" ht="54" customHeight="1">
      <c r="A19" s="9" t="inlineStr">
        <is>
          <t>18</t>
        </is>
      </c>
      <c r="B19" s="9" t="inlineStr">
        <is>
          <t>no_path</t>
        </is>
      </c>
      <c r="C19" s="9" t="inlineStr">
        <is>
          <t>읊어줄까</t>
        </is>
      </c>
      <c r="D19" s="9" t="inlineStr">
        <is>
          <t>2023</t>
        </is>
      </c>
      <c r="E19" s="9" t="inlineStr">
        <is>
          <t>SDRW2300001040.1.1.298</t>
        </is>
      </c>
      <c r="F19" s="9" t="inlineStr">
        <is>
          <t>SDRW2300001040</t>
        </is>
      </c>
      <c r="G19" s="9" t="inlineStr">
        <is>
          <t>SD2301139</t>
        </is>
      </c>
      <c r="H19" s="9" t="inlineStr">
        <is>
          <t>다 읊어줄까?</t>
        </is>
      </c>
      <c r="I19" s="9" t="inlineStr">
        <is>
          <t>다 읊어주까?</t>
        </is>
      </c>
      <c r="J19" s="9" t="inlineStr">
        <is>
          <t>다 을퍼줄까</t>
        </is>
      </c>
      <c r="K19" s="9" t="inlineStr">
        <is>
          <t>form_rule_prediction</t>
        </is>
      </c>
      <c r="L19" s="9" t="inlineStr">
        <is>
          <t>resolved_form</t>
        </is>
      </c>
      <c r="M19" s="9" t="inlineStr">
        <is>
          <t>exact</t>
        </is>
      </c>
      <c r="N19" s="10" t="inlineStr">
        <is>
          <t>검토 WAV</t>
        </is>
      </c>
      <c r="O19" s="10" t="inlineStr">
        <is>
          <t>원본 WAV</t>
        </is>
      </c>
      <c r="P19" s="9" t="inlineStr">
        <is>
          <t>30252</t>
        </is>
      </c>
      <c r="Q19" s="9" t="inlineStr">
        <is>
          <t>6fb720610c515534f1c71e3471cf6e9e31d5965982393e8657a8ba07be8ed102</t>
        </is>
      </c>
    </row>
    <row r="20" ht="54" customHeight="1">
      <c r="A20" s="9" t="inlineStr">
        <is>
          <t>19</t>
        </is>
      </c>
      <c r="B20" s="9" t="inlineStr">
        <is>
          <t>no_path</t>
        </is>
      </c>
      <c r="C20" s="9" t="inlineStr">
        <is>
          <t>읊었는데</t>
        </is>
      </c>
      <c r="D20" s="9" t="inlineStr">
        <is>
          <t>2025</t>
        </is>
      </c>
      <c r="E20" s="9" t="inlineStr">
        <is>
          <t>SDRW2500002085.1.1.100</t>
        </is>
      </c>
      <c r="F20" s="9" t="inlineStr">
        <is>
          <t>SDRW2500002085</t>
        </is>
      </c>
      <c r="G20" s="9" t="inlineStr">
        <is>
          <t>SD2501630</t>
        </is>
      </c>
      <c r="H20" s="9" t="inlineStr">
        <is>
          <t>그걸 그냥 그대로 2020년도에 읊었는데</t>
        </is>
      </c>
      <c r="I20" s="9" t="inlineStr">
        <is>
          <t>그걸 그냥 그대로 이천이십 년도에 읊었는데</t>
        </is>
      </c>
      <c r="J20" s="9" t="inlineStr">
        <is>
          <t>그걸 그냥 그대로 이처니십 년도에 을펀는데</t>
        </is>
      </c>
      <c r="K20" s="9" t="inlineStr">
        <is>
          <t>original_form_placeholder_resolution</t>
        </is>
      </c>
      <c r="L20" s="9" t="inlineStr">
        <is>
          <t>resolved_original_form</t>
        </is>
      </c>
      <c r="M20" s="9" t="inlineStr">
        <is>
          <t>exact</t>
        </is>
      </c>
      <c r="N20" s="10" t="inlineStr">
        <is>
          <t>검토 WAV</t>
        </is>
      </c>
      <c r="O20" s="10" t="inlineStr">
        <is>
          <t>원본 WAV</t>
        </is>
      </c>
      <c r="P20" s="9" t="inlineStr">
        <is>
          <t>110218</t>
        </is>
      </c>
      <c r="Q20" s="9" t="inlineStr">
        <is>
          <t>5ecaf085da21911a56ebe6a7017d90fe1a483c21e3e112d17a3d99a8a6fffc20</t>
        </is>
      </c>
    </row>
    <row r="21" ht="54" customHeight="1">
      <c r="A21" s="9" t="inlineStr">
        <is>
          <t>20</t>
        </is>
      </c>
      <c r="B21" s="9" t="inlineStr">
        <is>
          <t>no_path</t>
        </is>
      </c>
      <c r="C21" s="9" t="inlineStr">
        <is>
          <t>읊었다는</t>
        </is>
      </c>
      <c r="D21" s="9" t="inlineStr">
        <is>
          <t>2025</t>
        </is>
      </c>
      <c r="E21" s="9" t="inlineStr">
        <is>
          <t>SARW2500000384.1.1.109</t>
        </is>
      </c>
      <c r="F21" s="9" t="inlineStr">
        <is>
          <t>SARW2500000384</t>
        </is>
      </c>
      <c r="G21" s="9" t="inlineStr">
        <is>
          <t>SD2502087</t>
        </is>
      </c>
      <c r="H21" s="9" t="inlineStr">
        <is>
          <t>그런 여름날을 시인이 읊었다는 평가를 받는 시입니다.</t>
        </is>
      </c>
      <c r="I21" s="9" t="inlineStr">
        <is>
          <t>그런 여름날을 시인이 읊었다는 평가를 받는 시입니다.</t>
        </is>
      </c>
      <c r="J21" s="9" t="inlineStr">
        <is>
          <t>그런 여름나를 시이니 을펃따는 평가를 반는 시임니다</t>
        </is>
      </c>
      <c r="K21" s="9" t="inlineStr">
        <is>
          <t>form_rule_prediction</t>
        </is>
      </c>
      <c r="L21" s="9" t="inlineStr">
        <is>
          <t>resolved_form</t>
        </is>
      </c>
      <c r="M21" s="9" t="inlineStr">
        <is>
          <t>exact</t>
        </is>
      </c>
      <c r="N21" s="10" t="inlineStr">
        <is>
          <t>검토 WAV</t>
        </is>
      </c>
      <c r="O21" s="10" t="inlineStr">
        <is>
          <t>원본 WAV</t>
        </is>
      </c>
      <c r="P21" s="9" t="inlineStr">
        <is>
          <t>201210</t>
        </is>
      </c>
      <c r="Q21" s="9" t="inlineStr">
        <is>
          <t>b8856e746af877200ba291d36d35a5756b18cd99f54b725a7b6107d19eb43a1f</t>
        </is>
      </c>
    </row>
    <row r="22" ht="54" customHeight="1">
      <c r="A22" s="9" t="inlineStr">
        <is>
          <t>21</t>
        </is>
      </c>
      <c r="B22" s="9" t="inlineStr">
        <is>
          <t>no_path</t>
        </is>
      </c>
      <c r="C22" s="9" t="inlineStr">
        <is>
          <t>읊었습니다</t>
        </is>
      </c>
      <c r="D22" s="9" t="inlineStr">
        <is>
          <t>2025</t>
        </is>
      </c>
      <c r="E22" s="9" t="inlineStr">
        <is>
          <t>SARW2500000384.1.1.155</t>
        </is>
      </c>
      <c r="F22" s="9" t="inlineStr">
        <is>
          <t>SARW2500000384</t>
        </is>
      </c>
      <c r="G22" s="9" t="inlineStr">
        <is>
          <t>SD2502087</t>
        </is>
      </c>
      <c r="H22" s="9" t="inlineStr">
        <is>
          <t>나 여름을 만끽하고 있어라고 고적이 하일산중이라는 시에 읊었습니다.</t>
        </is>
      </c>
      <c r="I22" s="9" t="inlineStr">
        <is>
          <t>나 여름을 만끽하고 있어라고 고적이 하일산중이라는 시에 읊었습니다.</t>
        </is>
      </c>
      <c r="J22" s="9" t="inlineStr">
        <is>
          <t>나 여르믈 만끼카고 이써라고 고저기 하일산중이라는 시에 을펃씀니다</t>
        </is>
      </c>
      <c r="K22" s="9" t="inlineStr">
        <is>
          <t>form_rule_prediction</t>
        </is>
      </c>
      <c r="L22" s="9" t="inlineStr">
        <is>
          <t>resolved_form</t>
        </is>
      </c>
      <c r="M22" s="9" t="inlineStr">
        <is>
          <t>exact</t>
        </is>
      </c>
      <c r="N22" s="10" t="inlineStr">
        <is>
          <t>검토 WAV</t>
        </is>
      </c>
      <c r="O22" s="10" t="inlineStr">
        <is>
          <t>원본 WAV</t>
        </is>
      </c>
      <c r="P22" s="9" t="inlineStr">
        <is>
          <t>205058</t>
        </is>
      </c>
      <c r="Q22" s="9" t="inlineStr">
        <is>
          <t>27cafd934870e30db59a38f390cc5ba56c9fabc9e4e338a47ce16f9a3dbfb2e8</t>
        </is>
      </c>
    </row>
    <row r="23" ht="54" customHeight="1">
      <c r="A23" s="9" t="inlineStr">
        <is>
          <t>22</t>
        </is>
      </c>
      <c r="B23" s="9" t="inlineStr">
        <is>
          <t>no_path</t>
        </is>
      </c>
      <c r="C23" s="9" t="inlineStr">
        <is>
          <t>읊으는</t>
        </is>
      </c>
      <c r="D23" s="9" t="inlineStr">
        <is>
          <t>2024</t>
        </is>
      </c>
      <c r="E23" s="9" t="inlineStr">
        <is>
          <t>SDRW2400002478.1.1.26</t>
        </is>
      </c>
      <c r="F23" s="9" t="inlineStr">
        <is>
          <t>SDRW2400002478</t>
        </is>
      </c>
      <c r="G23" s="9" t="inlineStr">
        <is>
          <t>SD2401699</t>
        </is>
      </c>
      <c r="H23" s="9" t="inlineStr">
        <is>
          <t>어 걔가 이렇게 여렴풋이 나한테 읊으는 거 보니까 어 얼추 내 성격하고 맞는 거 같아. 근데 요즘에는</t>
        </is>
      </c>
      <c r="I23" s="9" t="inlineStr">
        <is>
          <t>어~ 걔가 이케 얼풋 나한테 읊으능 거 보니까 어~ 얼추 내 성격하고 맞능 거 같애. 근데 요즘에는</t>
        </is>
      </c>
      <c r="J23" s="9" t="inlineStr">
        <is>
          <t>어 걔가 이러케 여렴푸시 나한테 을프는 거 보니까 어 얼추 내 성겨카고 만는 거 가타 근데 요즈메는</t>
        </is>
      </c>
      <c r="K23" s="9" t="inlineStr">
        <is>
          <t>form_rule_prediction</t>
        </is>
      </c>
      <c r="L23" s="9" t="inlineStr">
        <is>
          <t>resolved_form</t>
        </is>
      </c>
      <c r="M23" s="9" t="inlineStr">
        <is>
          <t>exact</t>
        </is>
      </c>
      <c r="N23" s="10" t="inlineStr">
        <is>
          <t>검토 WAV</t>
        </is>
      </c>
      <c r="O23" s="10" t="inlineStr">
        <is>
          <t>원본 WAV</t>
        </is>
      </c>
      <c r="P23" s="9" t="inlineStr">
        <is>
          <t>244148</t>
        </is>
      </c>
      <c r="Q23" s="9" t="inlineStr">
        <is>
          <t>753c877d8e88f1a22c56ba88f315abf416088b23aecb43a2e83f68e0fb009344</t>
        </is>
      </c>
    </row>
    <row r="24" ht="54" customHeight="1">
      <c r="A24" s="9" t="inlineStr">
        <is>
          <t>23</t>
        </is>
      </c>
      <c r="B24" s="9" t="inlineStr">
        <is>
          <t>no_path</t>
        </is>
      </c>
      <c r="C24" s="9" t="inlineStr">
        <is>
          <t>읊으라고</t>
        </is>
      </c>
      <c r="D24" s="9" t="inlineStr">
        <is>
          <t>2025</t>
        </is>
      </c>
      <c r="E24" s="9" t="inlineStr">
        <is>
          <t>SDRW2500002345.1.1.153</t>
        </is>
      </c>
      <c r="F24" s="9" t="inlineStr">
        <is>
          <t>SDRW2500002345</t>
        </is>
      </c>
      <c r="G24" s="9" t="inlineStr">
        <is>
          <t>SD2501803</t>
        </is>
      </c>
      <c r="H24" s="9" t="inlineStr">
        <is>
          <t>그래서 어 아직까지 스토리를 읊으라고 하면은 읊을 수 있을 정도로 기억이 나는데</t>
        </is>
      </c>
      <c r="I24" s="9" t="inlineStr">
        <is>
          <t>그래서 어~ 아직까지 스토리를 읊으라고 하면은 읊을 수 있을 정도로 기억이 나는데</t>
        </is>
      </c>
      <c r="J24" s="9" t="inlineStr">
        <is>
          <t>그래서 어 아직까지 스토리를 을프라고 하며는 을플 수 이쓸 정도로 기어기 나는데</t>
        </is>
      </c>
      <c r="K24" s="9" t="inlineStr">
        <is>
          <t>form_rule_prediction</t>
        </is>
      </c>
      <c r="L24" s="9" t="inlineStr">
        <is>
          <t>resolved_form</t>
        </is>
      </c>
      <c r="M24" s="9" t="inlineStr">
        <is>
          <t>exact</t>
        </is>
      </c>
      <c r="N24" s="10" t="inlineStr">
        <is>
          <t>검토 WAV</t>
        </is>
      </c>
      <c r="O24" s="10" t="inlineStr">
        <is>
          <t>원본 WAV</t>
        </is>
      </c>
      <c r="P24" s="9" t="inlineStr">
        <is>
          <t>199828</t>
        </is>
      </c>
      <c r="Q24" s="9" t="inlineStr">
        <is>
          <t>98c24b75d97a0f92fb35190852a92adbb1ac935fcf0111df39c426118edeb1ae</t>
        </is>
      </c>
    </row>
    <row r="25" ht="54" customHeight="1">
      <c r="A25" s="9" t="inlineStr">
        <is>
          <t>24</t>
        </is>
      </c>
      <c r="B25" s="9" t="inlineStr">
        <is>
          <t>no_path</t>
        </is>
      </c>
      <c r="C25" s="9" t="inlineStr">
        <is>
          <t>읊으려면</t>
        </is>
      </c>
      <c r="D25" s="9" t="inlineStr">
        <is>
          <t>2023</t>
        </is>
      </c>
      <c r="E25" s="9" t="inlineStr">
        <is>
          <t>SDRW2300001040.1.1.293</t>
        </is>
      </c>
      <c r="F25" s="9" t="inlineStr">
        <is>
          <t>SDRW2300001040</t>
        </is>
      </c>
      <c r="G25" s="9" t="inlineStr">
        <is>
          <t>SD2301139</t>
        </is>
      </c>
      <c r="H25" s="9" t="inlineStr">
        <is>
          <t>쭉 읊으려면 읊을 수 있어.</t>
        </is>
      </c>
      <c r="I25" s="9" t="inlineStr">
        <is>
          <t>쭉 읊으려면 읊을 수 있어.</t>
        </is>
      </c>
      <c r="J25" s="9" t="inlineStr">
        <is>
          <t>쭉 을프려면 을플 수 이써</t>
        </is>
      </c>
      <c r="K25" s="9" t="inlineStr">
        <is>
          <t>form_rule_prediction</t>
        </is>
      </c>
      <c r="L25" s="9" t="inlineStr">
        <is>
          <t>resolved_form</t>
        </is>
      </c>
      <c r="M25" s="9" t="inlineStr">
        <is>
          <t>exact</t>
        </is>
      </c>
      <c r="N25" s="10" t="inlineStr">
        <is>
          <t>검토 WAV</t>
        </is>
      </c>
      <c r="O25" s="10" t="inlineStr">
        <is>
          <t>원본 WAV</t>
        </is>
      </c>
      <c r="P25" s="9" t="inlineStr">
        <is>
          <t>56524</t>
        </is>
      </c>
      <c r="Q25" s="9" t="inlineStr">
        <is>
          <t>c3182b255c82192544143c0b2c254443380d0bb66919f1d950b9292b466ac90a</t>
        </is>
      </c>
    </row>
    <row r="26" ht="54" customHeight="1">
      <c r="A26" s="9" t="inlineStr">
        <is>
          <t>25</t>
        </is>
      </c>
      <c r="B26" s="9" t="inlineStr">
        <is>
          <t>no_path</t>
        </is>
      </c>
      <c r="C26" s="9" t="inlineStr">
        <is>
          <t>읊으면서</t>
        </is>
      </c>
      <c r="D26" s="9" t="inlineStr">
        <is>
          <t>2020</t>
        </is>
      </c>
      <c r="E26" s="9" t="inlineStr">
        <is>
          <t>SDRW2000000115.1.1.191</t>
        </is>
      </c>
      <c r="F26" s="9" t="inlineStr">
        <is>
          <t>SDRW2000000115</t>
        </is>
      </c>
      <c r="G26" s="9" t="inlineStr">
        <is>
          <t>SD2000175</t>
        </is>
      </c>
      <c r="H26" s="9" t="inlineStr">
        <is>
          <t>시를 이제 읊으면서 끝나잖아요.</t>
        </is>
      </c>
      <c r="I26" s="9" t="inlineStr">
        <is>
          <t>시를 이제 읊으면서 끝나잖아요.</t>
        </is>
      </c>
      <c r="J26" s="9" t="inlineStr">
        <is>
          <t>시를 이제 을프면서 끈나자나요</t>
        </is>
      </c>
      <c r="K26" s="9" t="inlineStr">
        <is>
          <t>form_rule_prediction</t>
        </is>
      </c>
      <c r="L26" s="9" t="inlineStr">
        <is>
          <t>resolved_form</t>
        </is>
      </c>
      <c r="M26" s="9" t="inlineStr">
        <is>
          <t>exact</t>
        </is>
      </c>
      <c r="N26" s="10" t="inlineStr">
        <is>
          <t>검토 WAV</t>
        </is>
      </c>
      <c r="O26" s="10" t="inlineStr">
        <is>
          <t>원본 WAV</t>
        </is>
      </c>
      <c r="P26" s="9" t="inlineStr">
        <is>
          <t>72428</t>
        </is>
      </c>
      <c r="Q26" s="9" t="inlineStr">
        <is>
          <t>7e29518a00bb16327518ad78c0c1402ddf94c0101fded9a995722f779ccc407e</t>
        </is>
      </c>
    </row>
    <row r="27" ht="54" customHeight="1">
      <c r="A27" s="9" t="inlineStr">
        <is>
          <t>26</t>
        </is>
      </c>
      <c r="B27" s="9" t="inlineStr">
        <is>
          <t>no_path</t>
        </is>
      </c>
      <c r="C27" s="9" t="inlineStr">
        <is>
          <t>읊으시기도</t>
        </is>
      </c>
      <c r="D27" s="9" t="inlineStr">
        <is>
          <t>2023</t>
        </is>
      </c>
      <c r="E27" s="9" t="inlineStr">
        <is>
          <t>SDRW2300000212.1.1.283</t>
        </is>
      </c>
      <c r="F27" s="9" t="inlineStr">
        <is>
          <t>SDRW2300000212</t>
        </is>
      </c>
      <c r="G27" s="9" t="inlineStr">
        <is>
          <t>SD2300191</t>
        </is>
      </c>
      <c r="H27" s="9" t="inlineStr">
        <is>
          <t>뭐 초반 뭐 이렇게 시작하기 전에 뭐 아버님께서 뭘 이렇게 부르시면서 이렇게 읊으시기도 하고</t>
        </is>
      </c>
      <c r="I27" s="9" t="inlineStr">
        <is>
          <t>뭐~ 초반 뭐~ 이렇게 시작하기 전에 뭐~ 아버님께서 뭘 이렇게 불르시면서 이렇게 읊으시기도 하고</t>
        </is>
      </c>
      <c r="J27" s="9" t="inlineStr">
        <is>
          <t>뭐 초반 뭐 이러케 시자카기 저네 뭐 아버님께서 뭘 이러케 부르시면서 이러케 을프시기도 하고</t>
        </is>
      </c>
      <c r="K27" s="9" t="inlineStr">
        <is>
          <t>form_rule_prediction</t>
        </is>
      </c>
      <c r="L27" s="9" t="inlineStr">
        <is>
          <t>resolved_form</t>
        </is>
      </c>
      <c r="M27" s="9" t="inlineStr">
        <is>
          <t>exact</t>
        </is>
      </c>
      <c r="N27" s="10" t="inlineStr">
        <is>
          <t>검토 WAV</t>
        </is>
      </c>
      <c r="O27" s="10" t="inlineStr">
        <is>
          <t>원본 WAV</t>
        </is>
      </c>
      <c r="P27" s="9" t="inlineStr">
        <is>
          <t>112652</t>
        </is>
      </c>
      <c r="Q27" s="9" t="inlineStr">
        <is>
          <t>899973cb66b9f1128a85fb7805cc9cba369b0b6c52e24932088099a5d51c431a</t>
        </is>
      </c>
    </row>
    <row r="28" ht="54" customHeight="1">
      <c r="A28" s="9" t="inlineStr">
        <is>
          <t>27</t>
        </is>
      </c>
      <c r="B28" s="9" t="inlineStr">
        <is>
          <t>no_path</t>
        </is>
      </c>
      <c r="C28" s="9" t="inlineStr">
        <is>
          <t>읊은</t>
        </is>
      </c>
      <c r="D28" s="9" t="inlineStr">
        <is>
          <t>2025</t>
        </is>
      </c>
      <c r="E28" s="9" t="inlineStr">
        <is>
          <t>SARW2500000384.1.1.122</t>
        </is>
      </c>
      <c r="F28" s="9" t="inlineStr">
        <is>
          <t>SARW2500000384</t>
        </is>
      </c>
      <c r="G28" s="9" t="inlineStr">
        <is>
          <t>SD2502087</t>
        </is>
      </c>
      <c r="H28" s="9" t="inlineStr">
        <is>
          <t>여름 저녁에 고요한 휴식을 읊은 시 고적의 하일산중이라는 시 오늘은 보여 드릴게요.</t>
        </is>
      </c>
      <c r="I28" s="9" t="inlineStr">
        <is>
          <t>여름 저녁에 교요한 휴식을 읊은 시 고적에 하일산중이라는 시 오늘은 보여 드릴게요.</t>
        </is>
      </c>
      <c r="J28" s="9" t="inlineStr">
        <is>
          <t>여름 저녀게 고요한 휴시글 을픈 시 고저긔 하일산중이라는 시 오느른 보여 드릴게요</t>
        </is>
      </c>
      <c r="K28" s="9" t="inlineStr">
        <is>
          <t>form_rule_prediction</t>
        </is>
      </c>
      <c r="L28" s="9" t="inlineStr">
        <is>
          <t>resolved_form</t>
        </is>
      </c>
      <c r="M28" s="9" t="inlineStr">
        <is>
          <t>exact</t>
        </is>
      </c>
      <c r="N28" s="10" t="inlineStr">
        <is>
          <t>검토 WAV</t>
        </is>
      </c>
      <c r="O28" s="10" t="inlineStr">
        <is>
          <t>원본 WAV</t>
        </is>
      </c>
      <c r="P28" s="9" t="inlineStr">
        <is>
          <t>268202</t>
        </is>
      </c>
      <c r="Q28" s="9" t="inlineStr">
        <is>
          <t>412c007ebe2daf8f233a0e2343166d3de29b4097e82b6864983b8042468b4bed</t>
        </is>
      </c>
    </row>
    <row r="29" ht="54" customHeight="1">
      <c r="A29" s="9" t="inlineStr">
        <is>
          <t>28</t>
        </is>
      </c>
      <c r="B29" s="9" t="inlineStr">
        <is>
          <t>no_path</t>
        </is>
      </c>
      <c r="C29" s="9" t="inlineStr">
        <is>
          <t>읊은</t>
        </is>
      </c>
      <c r="D29" s="9" t="inlineStr">
        <is>
          <t>2025</t>
        </is>
      </c>
      <c r="E29" s="9" t="inlineStr">
        <is>
          <t>SARW2500000384.1.1.47</t>
        </is>
      </c>
      <c r="F29" s="9" t="inlineStr">
        <is>
          <t>SARW2500000384</t>
        </is>
      </c>
      <c r="G29" s="9" t="inlineStr">
        <is>
          <t>SD2502087</t>
        </is>
      </c>
      <c r="H29" s="9" t="inlineStr">
        <is>
          <t>이런 정말 여름밤의 서늘함을 읊은 양만리의 시입니다.</t>
        </is>
      </c>
      <c r="I29" s="9" t="inlineStr">
        <is>
          <t>이런 정말 여름밤에 서늘함을 읊은 양만리에 시입니다.</t>
        </is>
      </c>
      <c r="J29" s="9" t="inlineStr">
        <is>
          <t>이런 정말 여름바믜 서늘하믈 을픈 양말리의 시임니다</t>
        </is>
      </c>
      <c r="K29" s="9" t="inlineStr">
        <is>
          <t>form_rule_prediction</t>
        </is>
      </c>
      <c r="L29" s="9" t="inlineStr">
        <is>
          <t>resolved_form</t>
        </is>
      </c>
      <c r="M29" s="9" t="inlineStr">
        <is>
          <t>exact</t>
        </is>
      </c>
      <c r="N29" s="10" t="inlineStr">
        <is>
          <t>검토 WAV</t>
        </is>
      </c>
      <c r="O29" s="10" t="inlineStr">
        <is>
          <t>원본 WAV</t>
        </is>
      </c>
      <c r="P29" s="9" t="inlineStr">
        <is>
          <t>229012</t>
        </is>
      </c>
      <c r="Q29" s="9" t="inlineStr">
        <is>
          <t>fd0625110952e8c93700df47e3c9fa607e79bcdd8f7ec7daeaee5ce6cec34755</t>
        </is>
      </c>
    </row>
    <row r="30" ht="54" customHeight="1">
      <c r="A30" s="9" t="inlineStr">
        <is>
          <t>29</t>
        </is>
      </c>
      <c r="B30" s="9" t="inlineStr">
        <is>
          <t>no_path</t>
        </is>
      </c>
      <c r="C30" s="9" t="inlineStr">
        <is>
          <t>읊을</t>
        </is>
      </c>
      <c r="D30" s="9" t="inlineStr">
        <is>
          <t>2021</t>
        </is>
      </c>
      <c r="E30" s="9" t="inlineStr">
        <is>
          <t>SDRW2100002577.1.1.124</t>
        </is>
      </c>
      <c r="F30" s="9" t="inlineStr">
        <is>
          <t>SDRW2100002577</t>
        </is>
      </c>
      <c r="G30" s="9" t="inlineStr">
        <is>
          <t>SD2101374</t>
        </is>
      </c>
      <c r="H30" s="9" t="inlineStr">
        <is>
          <t>다 가사 얘기하면 그 다음 사 가사 읊을 수 있을 정도로 막 얘기를 많이 했던 것 같아.</t>
        </is>
      </c>
      <c r="I30" s="9" t="inlineStr">
        <is>
          <t>다 가사 얘기하면 그 다음 사 가사 읊을 수 있을 정도로 막 얘기를 많이 했던 거 같아.</t>
        </is>
      </c>
      <c r="J30" s="9" t="inlineStr">
        <is>
          <t>다 가사 얘기하면 그 다음 사 가사 을플 수 이쓸 정도로 막 얘기를 마니 핻떤 걷 가타</t>
        </is>
      </c>
      <c r="K30" s="9" t="inlineStr">
        <is>
          <t>form_rule_prediction</t>
        </is>
      </c>
      <c r="L30" s="9" t="inlineStr">
        <is>
          <t>resolved_form</t>
        </is>
      </c>
      <c r="M30" s="9" t="inlineStr">
        <is>
          <t>exact</t>
        </is>
      </c>
      <c r="N30" s="10" t="inlineStr">
        <is>
          <t>검토 WAV</t>
        </is>
      </c>
      <c r="O30" s="10" t="inlineStr">
        <is>
          <t>원본 WAV</t>
        </is>
      </c>
      <c r="P30" s="9" t="inlineStr">
        <is>
          <t>146600</t>
        </is>
      </c>
      <c r="Q30" s="9" t="inlineStr">
        <is>
          <t>df1d8d05215d6ed6fee83bfe5715979096c1c6232fcc2464f95ebe1503454f62</t>
        </is>
      </c>
    </row>
    <row r="31" ht="54" customHeight="1">
      <c r="A31" s="9" t="inlineStr">
        <is>
          <t>30</t>
        </is>
      </c>
      <c r="B31" s="9" t="inlineStr">
        <is>
          <t>no_path</t>
        </is>
      </c>
      <c r="C31" s="9" t="inlineStr">
        <is>
          <t>읊을</t>
        </is>
      </c>
      <c r="D31" s="9" t="inlineStr">
        <is>
          <t>2023</t>
        </is>
      </c>
      <c r="E31" s="9" t="inlineStr">
        <is>
          <t>SDRW2300001040.1.1.293</t>
        </is>
      </c>
      <c r="F31" s="9" t="inlineStr">
        <is>
          <t>SDRW2300001040</t>
        </is>
      </c>
      <c r="G31" s="9" t="inlineStr">
        <is>
          <t>SD2301139</t>
        </is>
      </c>
      <c r="H31" s="9" t="inlineStr">
        <is>
          <t>쭉 읊으려면 읊을 수 있어.</t>
        </is>
      </c>
      <c r="I31" s="9" t="inlineStr">
        <is>
          <t>쭉 읊으려면 읊을 수 있어.</t>
        </is>
      </c>
      <c r="J31" s="9" t="inlineStr">
        <is>
          <t>쭉 을프려면 을플 수 이써</t>
        </is>
      </c>
      <c r="K31" s="9" t="inlineStr">
        <is>
          <t>form_rule_prediction</t>
        </is>
      </c>
      <c r="L31" s="9" t="inlineStr">
        <is>
          <t>resolved_form</t>
        </is>
      </c>
      <c r="M31" s="9" t="inlineStr">
        <is>
          <t>exact</t>
        </is>
      </c>
      <c r="N31" s="10" t="inlineStr">
        <is>
          <t>검토 WAV</t>
        </is>
      </c>
      <c r="O31" s="10" t="inlineStr">
        <is>
          <t>원본 WAV</t>
        </is>
      </c>
      <c r="P31" s="9" t="inlineStr">
        <is>
          <t>56524</t>
        </is>
      </c>
      <c r="Q31" s="9" t="inlineStr">
        <is>
          <t>c3182b255c82192544143c0b2c254443380d0bb66919f1d950b9292b466ac90a</t>
        </is>
      </c>
    </row>
    <row r="32" ht="54" customHeight="1">
      <c r="A32" s="9" t="inlineStr">
        <is>
          <t>31</t>
        </is>
      </c>
      <c r="B32" s="9" t="inlineStr">
        <is>
          <t>no_path</t>
        </is>
      </c>
      <c r="C32" s="9" t="inlineStr">
        <is>
          <t>읊을</t>
        </is>
      </c>
      <c r="D32" s="9" t="inlineStr">
        <is>
          <t>2025</t>
        </is>
      </c>
      <c r="E32" s="9" t="inlineStr">
        <is>
          <t>SDRW2500002345.1.1.153</t>
        </is>
      </c>
      <c r="F32" s="9" t="inlineStr">
        <is>
          <t>SDRW2500002345</t>
        </is>
      </c>
      <c r="G32" s="9" t="inlineStr">
        <is>
          <t>SD2501803</t>
        </is>
      </c>
      <c r="H32" s="9" t="inlineStr">
        <is>
          <t>그래서 어 아직까지 스토리를 읊으라고 하면은 읊을 수 있을 정도로 기억이 나는데</t>
        </is>
      </c>
      <c r="I32" s="9" t="inlineStr">
        <is>
          <t>그래서 어~ 아직까지 스토리를 읊으라고 하면은 읊을 수 있을 정도로 기억이 나는데</t>
        </is>
      </c>
      <c r="J32" s="9" t="inlineStr">
        <is>
          <t>그래서 어 아직까지 스토리를 을프라고 하며는 을플 수 이쓸 정도로 기어기 나는데</t>
        </is>
      </c>
      <c r="K32" s="9" t="inlineStr">
        <is>
          <t>form_rule_prediction</t>
        </is>
      </c>
      <c r="L32" s="9" t="inlineStr">
        <is>
          <t>resolved_form</t>
        </is>
      </c>
      <c r="M32" s="9" t="inlineStr">
        <is>
          <t>exact</t>
        </is>
      </c>
      <c r="N32" s="10" t="inlineStr">
        <is>
          <t>검토 WAV</t>
        </is>
      </c>
      <c r="O32" s="10" t="inlineStr">
        <is>
          <t>원본 WAV</t>
        </is>
      </c>
      <c r="P32" s="9" t="inlineStr">
        <is>
          <t>199828</t>
        </is>
      </c>
      <c r="Q32" s="9" t="inlineStr">
        <is>
          <t>98c24b75d97a0f92fb35190852a92adbb1ac935fcf0111df39c426118edeb1ae</t>
        </is>
      </c>
    </row>
  </sheetData>
  <hyperlinks>
    <hyperlink xmlns:r="http://schemas.openxmlformats.org/officeDocument/2006/relationships" ref="N2" r:id="rId1"/>
    <hyperlink xmlns:r="http://schemas.openxmlformats.org/officeDocument/2006/relationships" ref="O2" r:id="rId2"/>
    <hyperlink xmlns:r="http://schemas.openxmlformats.org/officeDocument/2006/relationships" ref="N3" r:id="rId3"/>
    <hyperlink xmlns:r="http://schemas.openxmlformats.org/officeDocument/2006/relationships" ref="O3" r:id="rId4"/>
    <hyperlink xmlns:r="http://schemas.openxmlformats.org/officeDocument/2006/relationships" ref="N4" r:id="rId5"/>
    <hyperlink xmlns:r="http://schemas.openxmlformats.org/officeDocument/2006/relationships" ref="O4" r:id="rId6"/>
    <hyperlink xmlns:r="http://schemas.openxmlformats.org/officeDocument/2006/relationships" ref="N5" r:id="rId7"/>
    <hyperlink xmlns:r="http://schemas.openxmlformats.org/officeDocument/2006/relationships" ref="O5" r:id="rId8"/>
    <hyperlink xmlns:r="http://schemas.openxmlformats.org/officeDocument/2006/relationships" ref="N6" r:id="rId9"/>
    <hyperlink xmlns:r="http://schemas.openxmlformats.org/officeDocument/2006/relationships" ref="O6" r:id="rId10"/>
    <hyperlink xmlns:r="http://schemas.openxmlformats.org/officeDocument/2006/relationships" ref="N7" r:id="rId11"/>
    <hyperlink xmlns:r="http://schemas.openxmlformats.org/officeDocument/2006/relationships" ref="O7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N9" r:id="rId15"/>
    <hyperlink xmlns:r="http://schemas.openxmlformats.org/officeDocument/2006/relationships" ref="O9" r:id="rId16"/>
    <hyperlink xmlns:r="http://schemas.openxmlformats.org/officeDocument/2006/relationships" ref="N10" r:id="rId17"/>
    <hyperlink xmlns:r="http://schemas.openxmlformats.org/officeDocument/2006/relationships" ref="O10" r:id="rId18"/>
    <hyperlink xmlns:r="http://schemas.openxmlformats.org/officeDocument/2006/relationships" ref="N11" r:id="rId19"/>
    <hyperlink xmlns:r="http://schemas.openxmlformats.org/officeDocument/2006/relationships" ref="O11" r:id="rId20"/>
    <hyperlink xmlns:r="http://schemas.openxmlformats.org/officeDocument/2006/relationships" ref="N12" r:id="rId21"/>
    <hyperlink xmlns:r="http://schemas.openxmlformats.org/officeDocument/2006/relationships" ref="O12" r:id="rId22"/>
    <hyperlink xmlns:r="http://schemas.openxmlformats.org/officeDocument/2006/relationships" ref="N13" r:id="rId23"/>
    <hyperlink xmlns:r="http://schemas.openxmlformats.org/officeDocument/2006/relationships" ref="O13" r:id="rId24"/>
    <hyperlink xmlns:r="http://schemas.openxmlformats.org/officeDocument/2006/relationships" ref="N14" r:id="rId25"/>
    <hyperlink xmlns:r="http://schemas.openxmlformats.org/officeDocument/2006/relationships" ref="O14" r:id="rId26"/>
    <hyperlink xmlns:r="http://schemas.openxmlformats.org/officeDocument/2006/relationships" ref="N15" r:id="rId27"/>
    <hyperlink xmlns:r="http://schemas.openxmlformats.org/officeDocument/2006/relationships" ref="O15" r:id="rId28"/>
    <hyperlink xmlns:r="http://schemas.openxmlformats.org/officeDocument/2006/relationships" ref="N16" r:id="rId29"/>
    <hyperlink xmlns:r="http://schemas.openxmlformats.org/officeDocument/2006/relationships" ref="O16" r:id="rId30"/>
    <hyperlink xmlns:r="http://schemas.openxmlformats.org/officeDocument/2006/relationships" ref="N17" r:id="rId31"/>
    <hyperlink xmlns:r="http://schemas.openxmlformats.org/officeDocument/2006/relationships" ref="O17" r:id="rId32"/>
    <hyperlink xmlns:r="http://schemas.openxmlformats.org/officeDocument/2006/relationships" ref="N18" r:id="rId33"/>
    <hyperlink xmlns:r="http://schemas.openxmlformats.org/officeDocument/2006/relationships" ref="O18" r:id="rId34"/>
    <hyperlink xmlns:r="http://schemas.openxmlformats.org/officeDocument/2006/relationships" ref="N19" r:id="rId35"/>
    <hyperlink xmlns:r="http://schemas.openxmlformats.org/officeDocument/2006/relationships" ref="O19" r:id="rId36"/>
    <hyperlink xmlns:r="http://schemas.openxmlformats.org/officeDocument/2006/relationships" ref="N20" r:id="rId37"/>
    <hyperlink xmlns:r="http://schemas.openxmlformats.org/officeDocument/2006/relationships" ref="O20" r:id="rId38"/>
    <hyperlink xmlns:r="http://schemas.openxmlformats.org/officeDocument/2006/relationships" ref="N21" r:id="rId39"/>
    <hyperlink xmlns:r="http://schemas.openxmlformats.org/officeDocument/2006/relationships" ref="O21" r:id="rId40"/>
    <hyperlink xmlns:r="http://schemas.openxmlformats.org/officeDocument/2006/relationships" ref="N22" r:id="rId41"/>
    <hyperlink xmlns:r="http://schemas.openxmlformats.org/officeDocument/2006/relationships" ref="O22" r:id="rId42"/>
    <hyperlink xmlns:r="http://schemas.openxmlformats.org/officeDocument/2006/relationships" ref="N23" r:id="rId43"/>
    <hyperlink xmlns:r="http://schemas.openxmlformats.org/officeDocument/2006/relationships" ref="O23" r:id="rId44"/>
    <hyperlink xmlns:r="http://schemas.openxmlformats.org/officeDocument/2006/relationships" ref="N24" r:id="rId45"/>
    <hyperlink xmlns:r="http://schemas.openxmlformats.org/officeDocument/2006/relationships" ref="O24" r:id="rId46"/>
    <hyperlink xmlns:r="http://schemas.openxmlformats.org/officeDocument/2006/relationships" ref="N25" r:id="rId47"/>
    <hyperlink xmlns:r="http://schemas.openxmlformats.org/officeDocument/2006/relationships" ref="O25" r:id="rId48"/>
    <hyperlink xmlns:r="http://schemas.openxmlformats.org/officeDocument/2006/relationships" ref="N26" r:id="rId49"/>
    <hyperlink xmlns:r="http://schemas.openxmlformats.org/officeDocument/2006/relationships" ref="O26" r:id="rId50"/>
    <hyperlink xmlns:r="http://schemas.openxmlformats.org/officeDocument/2006/relationships" ref="N27" r:id="rId51"/>
    <hyperlink xmlns:r="http://schemas.openxmlformats.org/officeDocument/2006/relationships" ref="O27" r:id="rId52"/>
    <hyperlink xmlns:r="http://schemas.openxmlformats.org/officeDocument/2006/relationships" ref="N28" r:id="rId53"/>
    <hyperlink xmlns:r="http://schemas.openxmlformats.org/officeDocument/2006/relationships" ref="O28" r:id="rId54"/>
    <hyperlink xmlns:r="http://schemas.openxmlformats.org/officeDocument/2006/relationships" ref="N29" r:id="rId55"/>
    <hyperlink xmlns:r="http://schemas.openxmlformats.org/officeDocument/2006/relationships" ref="O29" r:id="rId56"/>
    <hyperlink xmlns:r="http://schemas.openxmlformats.org/officeDocument/2006/relationships" ref="N30" r:id="rId57"/>
    <hyperlink xmlns:r="http://schemas.openxmlformats.org/officeDocument/2006/relationships" ref="O30" r:id="rId58"/>
    <hyperlink xmlns:r="http://schemas.openxmlformats.org/officeDocument/2006/relationships" ref="N31" r:id="rId59"/>
    <hyperlink xmlns:r="http://schemas.openxmlformats.org/officeDocument/2006/relationships" ref="O31" r:id="rId60"/>
    <hyperlink xmlns:r="http://schemas.openxmlformats.org/officeDocument/2006/relationships" ref="N32" r:id="rId61"/>
    <hyperlink xmlns:r="http://schemas.openxmlformats.org/officeDocument/2006/relationships" ref="O32" r:id="rId62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63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43" customWidth="1" min="4" max="4"/>
    <col width="43" customWidth="1" min="5" max="5"/>
    <col width="13" customWidth="1" min="6" max="6"/>
    <col width="55" customWidth="1" min="7" max="7"/>
    <col width="38" customWidth="1" min="8" max="8"/>
  </cols>
  <sheetData>
    <row r="1" ht="34" customHeight="1">
      <c r="A1" s="8" t="inlineStr">
        <is>
          <t>source_kind</t>
        </is>
      </c>
      <c r="B1" s="8" t="inlineStr">
        <is>
          <t>token</t>
        </is>
      </c>
      <c r="C1" s="8" t="inlineStr">
        <is>
          <t>model_input</t>
        </is>
      </c>
      <c r="D1" s="8" t="inlineStr">
        <is>
          <t>model_candidate_phone</t>
        </is>
      </c>
      <c r="E1" s="8" t="inlineStr">
        <is>
          <t>existing_approved_phone</t>
        </is>
      </c>
      <c r="F1" s="8" t="inlineStr">
        <is>
          <t>decision</t>
        </is>
      </c>
      <c r="G1" s="8" t="inlineStr">
        <is>
          <t>rule_or_evidence</t>
        </is>
      </c>
      <c r="H1" s="8" t="inlineStr">
        <is>
          <t>notes</t>
        </is>
      </c>
    </row>
    <row r="2">
      <c r="A2" s="9" t="inlineStr">
        <is>
          <t>no_path</t>
        </is>
      </c>
      <c r="B2" s="9" t="inlineStr">
        <is>
          <t>읊어</t>
        </is>
      </c>
      <c r="C2" s="9" t="inlineStr">
        <is>
          <t>을퍼</t>
        </is>
      </c>
      <c r="D2" s="9" t="inlineStr">
        <is>
          <t>ɨ ɭ pʰ ʌ</t>
        </is>
      </c>
      <c r="E2" s="9" t="inlineStr">
        <is>
          <t>ɨ ɭ pʰ ʌ</t>
        </is>
      </c>
      <c r="F2" s="9" t="inlineStr">
        <is>
          <t>approved</t>
        </is>
      </c>
      <c r="G2" s="9" t="inlineStr">
        <is>
          <t>standard_pron_rule14_eulph_v1 | 국립국어원 표준 발음법 제14항</t>
        </is>
      </c>
      <c r="H2" s="9" t="inlineStr">
        <is>
          <t>2026-07-28 사용자 명시 승인: 읊어[을퍼] 후보로 누락 키를 보완하고 계속 진행</t>
        </is>
      </c>
    </row>
    <row r="3">
      <c r="A3" s="9" t="inlineStr">
        <is>
          <t>no_path</t>
        </is>
      </c>
      <c r="B3" s="9" t="inlineStr">
        <is>
          <t>읊을</t>
        </is>
      </c>
      <c r="C3" s="9" t="inlineStr">
        <is>
          <t>을플</t>
        </is>
      </c>
      <c r="D3" s="9" t="inlineStr">
        <is>
          <t>ɨ ɭ pʰ ɨ ɭ</t>
        </is>
      </c>
      <c r="E3" s="9" t="inlineStr"/>
      <c r="F3" s="9" t="inlineStr">
        <is>
          <t>pending</t>
        </is>
      </c>
      <c r="G3" s="9" t="inlineStr">
        <is>
          <t>standard_pron_rule14_eulph_v1 | 국립국어원 표준 발음법 제14항</t>
        </is>
      </c>
      <c r="H3" s="9" t="inlineStr"/>
    </row>
    <row r="4">
      <c r="A4" s="9" t="inlineStr">
        <is>
          <t>no_path</t>
        </is>
      </c>
      <c r="B4" s="9" t="inlineStr">
        <is>
          <t>읊는</t>
        </is>
      </c>
      <c r="C4" s="9" t="inlineStr">
        <is>
          <t>음는</t>
        </is>
      </c>
      <c r="D4" s="9" t="inlineStr">
        <is>
          <t>ɨ m n ɨ n</t>
        </is>
      </c>
      <c r="E4" s="9" t="inlineStr"/>
      <c r="F4" s="9" t="inlineStr">
        <is>
          <t>pending</t>
        </is>
      </c>
      <c r="G4" s="9" t="inlineStr">
        <is>
          <t>standard_pron_rule18_eulph_nasal_v1 | 국립국어원 표준 발음법 제18항</t>
        </is>
      </c>
      <c r="H4" s="9" t="inlineStr"/>
    </row>
    <row r="5">
      <c r="A5" s="9" t="inlineStr">
        <is>
          <t>no_path</t>
        </is>
      </c>
      <c r="B5" s="9" t="inlineStr">
        <is>
          <t>읊은</t>
        </is>
      </c>
      <c r="C5" s="9" t="inlineStr">
        <is>
          <t>을픈</t>
        </is>
      </c>
      <c r="D5" s="9" t="inlineStr">
        <is>
          <t>ɨ ɭ pʰ ɨ n</t>
        </is>
      </c>
      <c r="E5" s="9" t="inlineStr"/>
      <c r="F5" s="9" t="inlineStr">
        <is>
          <t>pending</t>
        </is>
      </c>
      <c r="G5" s="9" t="inlineStr">
        <is>
          <t>standard_pron_rule14_eulph_v1 | 국립국어원 표준 발음법 제14항</t>
        </is>
      </c>
      <c r="H5" s="9" t="inlineStr"/>
    </row>
    <row r="6">
      <c r="A6" s="9" t="inlineStr">
        <is>
          <t>no_path</t>
        </is>
      </c>
      <c r="B6" s="9" t="inlineStr">
        <is>
          <t>읊고</t>
        </is>
      </c>
      <c r="C6" s="9" t="inlineStr">
        <is>
          <t>읍꼬</t>
        </is>
      </c>
      <c r="D6" s="9" t="inlineStr">
        <is>
          <t>ɨː m k͈ o</t>
        </is>
      </c>
      <c r="E6" s="9" t="inlineStr"/>
      <c r="F6" s="9" t="inlineStr">
        <is>
          <t>pending</t>
        </is>
      </c>
      <c r="G6" s="9" t="inlineStr">
        <is>
          <t>standard_pron_rule23_eulph_tense_v1 | 국립국어원 표준 발음법 제23항</t>
        </is>
      </c>
      <c r="H6" s="9" t="inlineStr"/>
    </row>
    <row r="7">
      <c r="A7" s="9" t="inlineStr">
        <is>
          <t>no_path</t>
        </is>
      </c>
      <c r="B7" s="9" t="inlineStr">
        <is>
          <t>읊는다고</t>
        </is>
      </c>
      <c r="C7" s="9" t="inlineStr">
        <is>
          <t>음는다고</t>
        </is>
      </c>
      <c r="D7" s="9" t="inlineStr">
        <is>
          <t>ɨ m n ɨ n d ɐ ɡ o</t>
        </is>
      </c>
      <c r="E7" s="9" t="inlineStr"/>
      <c r="F7" s="9" t="inlineStr">
        <is>
          <t>pending</t>
        </is>
      </c>
      <c r="G7" s="9" t="inlineStr">
        <is>
          <t>standard_pron_rule18_eulph_nasal_v1 | 국립국어원 표준 발음법 제18항</t>
        </is>
      </c>
      <c r="H7" s="9" t="inlineStr"/>
    </row>
    <row r="8">
      <c r="A8" s="9" t="inlineStr">
        <is>
          <t>no_path</t>
        </is>
      </c>
      <c r="B8" s="9" t="inlineStr">
        <is>
          <t>읊는다는</t>
        </is>
      </c>
      <c r="C8" s="9" t="inlineStr">
        <is>
          <t>음는다는</t>
        </is>
      </c>
      <c r="D8" s="9" t="inlineStr">
        <is>
          <t>ɨ m n ɨ n d ɐ n ɨ n</t>
        </is>
      </c>
      <c r="E8" s="9" t="inlineStr"/>
      <c r="F8" s="9" t="inlineStr">
        <is>
          <t>pending</t>
        </is>
      </c>
      <c r="G8" s="9" t="inlineStr">
        <is>
          <t>standard_pron_rule18_eulph_nasal_v1 | 국립국어원 표준 발음법 제18항</t>
        </is>
      </c>
      <c r="H8" s="9" t="inlineStr"/>
    </row>
    <row r="9">
      <c r="A9" s="9" t="inlineStr">
        <is>
          <t>no_path</t>
        </is>
      </c>
      <c r="B9" s="9" t="inlineStr">
        <is>
          <t>읊는다잖아요</t>
        </is>
      </c>
      <c r="C9" s="9" t="inlineStr">
        <is>
          <t>음는다자나요</t>
        </is>
      </c>
      <c r="D9" s="9" t="inlineStr">
        <is>
          <t>ɨ m n ɨ n d ɐ dʑ ɐ n ɐ j o</t>
        </is>
      </c>
      <c r="E9" s="9" t="inlineStr"/>
      <c r="F9" s="9" t="inlineStr">
        <is>
          <t>pending</t>
        </is>
      </c>
      <c r="G9" s="9" t="inlineStr">
        <is>
          <t>standard_pron_rule18_eulph_nasal_v1 | 국립국어원 표준 발음법 제18항</t>
        </is>
      </c>
      <c r="H9" s="9" t="inlineStr"/>
    </row>
    <row r="10">
      <c r="A10" s="9" t="inlineStr">
        <is>
          <t>no_path</t>
        </is>
      </c>
      <c r="B10" s="9" t="inlineStr">
        <is>
          <t>읊어놓고</t>
        </is>
      </c>
      <c r="C10" s="9" t="inlineStr">
        <is>
          <t>을퍼노코</t>
        </is>
      </c>
      <c r="D10" s="9" t="inlineStr">
        <is>
          <t>ɨ ɭ pʰ ʌ n o kʰ o</t>
        </is>
      </c>
      <c r="E10" s="9" t="inlineStr"/>
      <c r="F10" s="9" t="inlineStr">
        <is>
          <t>pending</t>
        </is>
      </c>
      <c r="G10" s="9" t="inlineStr">
        <is>
          <t>standard_pron_rule14_eulph_v1 | 국립국어원 표준 발음법 제14항</t>
        </is>
      </c>
      <c r="H10" s="9" t="inlineStr"/>
    </row>
    <row r="11">
      <c r="A11" s="9" t="inlineStr">
        <is>
          <t>no_path</t>
        </is>
      </c>
      <c r="B11" s="9" t="inlineStr">
        <is>
          <t>읊어보라고</t>
        </is>
      </c>
      <c r="C11" s="9" t="inlineStr">
        <is>
          <t>을퍼보라고</t>
        </is>
      </c>
      <c r="D11" s="9" t="inlineStr">
        <is>
          <t>ɨ ɭ pʰ ʌ b o ɾ ɐ ɡ o</t>
        </is>
      </c>
      <c r="E11" s="9" t="inlineStr"/>
      <c r="F11" s="9" t="inlineStr">
        <is>
          <t>pending</t>
        </is>
      </c>
      <c r="G11" s="9" t="inlineStr">
        <is>
          <t>standard_pron_rule14_eulph_v1 | 국립국어원 표준 발음법 제14항</t>
        </is>
      </c>
      <c r="H11" s="9" t="inlineStr"/>
    </row>
    <row r="12">
      <c r="A12" s="9" t="inlineStr">
        <is>
          <t>no_path</t>
        </is>
      </c>
      <c r="B12" s="9" t="inlineStr">
        <is>
          <t>읊어봐</t>
        </is>
      </c>
      <c r="C12" s="9" t="inlineStr">
        <is>
          <t>을퍼봐</t>
        </is>
      </c>
      <c r="D12" s="9" t="inlineStr">
        <is>
          <t>ɨ ɭ pʰ ʌ bʷ ɐ</t>
        </is>
      </c>
      <c r="E12" s="9" t="inlineStr"/>
      <c r="F12" s="9" t="inlineStr">
        <is>
          <t>pending</t>
        </is>
      </c>
      <c r="G12" s="9" t="inlineStr">
        <is>
          <t>standard_pron_rule14_eulph_v1 | 국립국어원 표준 발음법 제14항</t>
        </is>
      </c>
      <c r="H12" s="9" t="inlineStr"/>
    </row>
    <row r="13">
      <c r="A13" s="9" t="inlineStr">
        <is>
          <t>no_path</t>
        </is>
      </c>
      <c r="B13" s="9" t="inlineStr">
        <is>
          <t>읊어서</t>
        </is>
      </c>
      <c r="C13" s="9" t="inlineStr">
        <is>
          <t>을퍼서</t>
        </is>
      </c>
      <c r="D13" s="9" t="inlineStr">
        <is>
          <t>ɨ ɭ pʰ ʌ sʰ ʌ</t>
        </is>
      </c>
      <c r="E13" s="9" t="inlineStr"/>
      <c r="F13" s="9" t="inlineStr">
        <is>
          <t>pending</t>
        </is>
      </c>
      <c r="G13" s="9" t="inlineStr">
        <is>
          <t>standard_pron_rule14_eulph_v1 | 국립국어원 표준 발음법 제14항</t>
        </is>
      </c>
      <c r="H13" s="9" t="inlineStr"/>
    </row>
    <row r="14">
      <c r="A14" s="9" t="inlineStr">
        <is>
          <t>no_path</t>
        </is>
      </c>
      <c r="B14" s="9" t="inlineStr">
        <is>
          <t>읊어야</t>
        </is>
      </c>
      <c r="C14" s="9" t="inlineStr">
        <is>
          <t>을퍼야</t>
        </is>
      </c>
      <c r="D14" s="9" t="inlineStr">
        <is>
          <t>ɨ ɭ pʰ ʌ j ɐ</t>
        </is>
      </c>
      <c r="E14" s="9" t="inlineStr"/>
      <c r="F14" s="9" t="inlineStr">
        <is>
          <t>pending</t>
        </is>
      </c>
      <c r="G14" s="9" t="inlineStr">
        <is>
          <t>standard_pron_rule14_eulph_v1 | 국립국어원 표준 발음법 제14항</t>
        </is>
      </c>
      <c r="H14" s="9" t="inlineStr"/>
    </row>
    <row r="15">
      <c r="A15" s="9" t="inlineStr">
        <is>
          <t>no_path</t>
        </is>
      </c>
      <c r="B15" s="9" t="inlineStr">
        <is>
          <t>읊어졌다는데</t>
        </is>
      </c>
      <c r="C15" s="9" t="inlineStr">
        <is>
          <t>을퍼젿따는데</t>
        </is>
      </c>
      <c r="D15" s="9" t="inlineStr">
        <is>
          <t>ɨ ɭ pʰ ʌ dʑ ʌ t̚ t͈ ɐ n ɨ n d e</t>
        </is>
      </c>
      <c r="E15" s="9" t="inlineStr"/>
      <c r="F15" s="9" t="inlineStr">
        <is>
          <t>pending</t>
        </is>
      </c>
      <c r="G15" s="9" t="inlineStr">
        <is>
          <t>standard_pron_rule14_eulph_v1 | 국립국어원 표준 발음법 제14항</t>
        </is>
      </c>
      <c r="H15" s="9" t="inlineStr"/>
    </row>
    <row r="16">
      <c r="A16" s="9" t="inlineStr">
        <is>
          <t>no_path</t>
        </is>
      </c>
      <c r="B16" s="9" t="inlineStr">
        <is>
          <t>읊어주겠니</t>
        </is>
      </c>
      <c r="C16" s="9" t="inlineStr">
        <is>
          <t>을퍼주겐니</t>
        </is>
      </c>
      <c r="D16" s="9" t="inlineStr">
        <is>
          <t>ɨ ɭ pʰ ʌ dʑ u ɡ e nː i</t>
        </is>
      </c>
      <c r="E16" s="9" t="inlineStr"/>
      <c r="F16" s="9" t="inlineStr">
        <is>
          <t>pending</t>
        </is>
      </c>
      <c r="G16" s="9" t="inlineStr">
        <is>
          <t>standard_pron_rule14_eulph_v1 | 국립국어원 표준 발음법 제14항</t>
        </is>
      </c>
      <c r="H16" s="9" t="inlineStr"/>
    </row>
    <row r="17">
      <c r="A17" s="9" t="inlineStr">
        <is>
          <t>no_path</t>
        </is>
      </c>
      <c r="B17" s="9" t="inlineStr">
        <is>
          <t>읊어줄까</t>
        </is>
      </c>
      <c r="C17" s="9" t="inlineStr">
        <is>
          <t>을퍼줄까</t>
        </is>
      </c>
      <c r="D17" s="9" t="inlineStr">
        <is>
          <t>ɨ ɭ pʰ ʌ dʑ u ɭ k͈ ɐ</t>
        </is>
      </c>
      <c r="E17" s="9" t="inlineStr"/>
      <c r="F17" s="9" t="inlineStr">
        <is>
          <t>pending</t>
        </is>
      </c>
      <c r="G17" s="9" t="inlineStr">
        <is>
          <t>standard_pron_rule14_eulph_v1 | 국립국어원 표준 발음법 제14항</t>
        </is>
      </c>
      <c r="H17" s="9" t="inlineStr"/>
    </row>
    <row r="18">
      <c r="A18" s="9" t="inlineStr">
        <is>
          <t>no_path</t>
        </is>
      </c>
      <c r="B18" s="9" t="inlineStr">
        <is>
          <t>읊었는데</t>
        </is>
      </c>
      <c r="C18" s="9" t="inlineStr">
        <is>
          <t>을펀는데</t>
        </is>
      </c>
      <c r="D18" s="9" t="inlineStr">
        <is>
          <t>ɨ ɭ pʰ ʌ nː ɨ n d e</t>
        </is>
      </c>
      <c r="E18" s="9" t="inlineStr"/>
      <c r="F18" s="9" t="inlineStr">
        <is>
          <t>pending</t>
        </is>
      </c>
      <c r="G18" s="9" t="inlineStr">
        <is>
          <t>standard_pron_rule14_eulph_v1 | 국립국어원 표준 발음법 제14항</t>
        </is>
      </c>
      <c r="H18" s="9" t="inlineStr"/>
    </row>
    <row r="19">
      <c r="A19" s="9" t="inlineStr">
        <is>
          <t>no_path</t>
        </is>
      </c>
      <c r="B19" s="9" t="inlineStr">
        <is>
          <t>읊었다는</t>
        </is>
      </c>
      <c r="C19" s="9" t="inlineStr">
        <is>
          <t>을펃따는</t>
        </is>
      </c>
      <c r="D19" s="9" t="inlineStr">
        <is>
          <t>ɨ ɭ pʰ ʌ t̚ t͈ ɐ n ɨ n</t>
        </is>
      </c>
      <c r="E19" s="9" t="inlineStr"/>
      <c r="F19" s="9" t="inlineStr">
        <is>
          <t>pending</t>
        </is>
      </c>
      <c r="G19" s="9" t="inlineStr">
        <is>
          <t>standard_pron_rule14_eulph_v1 | 국립국어원 표준 발음법 제14항</t>
        </is>
      </c>
      <c r="H19" s="9" t="inlineStr"/>
    </row>
    <row r="20">
      <c r="A20" s="9" t="inlineStr">
        <is>
          <t>no_path</t>
        </is>
      </c>
      <c r="B20" s="9" t="inlineStr">
        <is>
          <t>읊었습니다</t>
        </is>
      </c>
      <c r="C20" s="9" t="inlineStr">
        <is>
          <t>을펃씀니다</t>
        </is>
      </c>
      <c r="D20" s="9" t="inlineStr">
        <is>
          <t>ɨ ɭ pʰ ʌ t̚ s͈ ɨ m ɲ i d ɐ</t>
        </is>
      </c>
      <c r="E20" s="9" t="inlineStr"/>
      <c r="F20" s="9" t="inlineStr">
        <is>
          <t>pending</t>
        </is>
      </c>
      <c r="G20" s="9" t="inlineStr">
        <is>
          <t>standard_pron_rule14_eulph_v1 | 국립국어원 표준 발음법 제14항</t>
        </is>
      </c>
      <c r="H20" s="9" t="inlineStr"/>
    </row>
    <row r="21">
      <c r="A21" s="9" t="inlineStr">
        <is>
          <t>no_path</t>
        </is>
      </c>
      <c r="B21" s="9" t="inlineStr">
        <is>
          <t>읊으는</t>
        </is>
      </c>
      <c r="C21" s="9" t="inlineStr">
        <is>
          <t>을프는</t>
        </is>
      </c>
      <c r="D21" s="9" t="inlineStr">
        <is>
          <t>ɨ ɭ pʰ ɨ n ɨ n</t>
        </is>
      </c>
      <c r="E21" s="9" t="inlineStr"/>
      <c r="F21" s="9" t="inlineStr">
        <is>
          <t>pending</t>
        </is>
      </c>
      <c r="G21" s="9" t="inlineStr">
        <is>
          <t>standard_pron_rule14_eulph_v1 | 국립국어원 표준 발음법 제14항</t>
        </is>
      </c>
      <c r="H21" s="9" t="inlineStr"/>
    </row>
    <row r="22">
      <c r="A22" s="9" t="inlineStr">
        <is>
          <t>no_path</t>
        </is>
      </c>
      <c r="B22" s="9" t="inlineStr">
        <is>
          <t>읊으라고</t>
        </is>
      </c>
      <c r="C22" s="9" t="inlineStr">
        <is>
          <t>을프라고</t>
        </is>
      </c>
      <c r="D22" s="9" t="inlineStr">
        <is>
          <t>ɨ ɭ pʰ ɨ ɾ ɐ ɡ o</t>
        </is>
      </c>
      <c r="E22" s="9" t="inlineStr"/>
      <c r="F22" s="9" t="inlineStr">
        <is>
          <t>pending</t>
        </is>
      </c>
      <c r="G22" s="9" t="inlineStr">
        <is>
          <t>standard_pron_rule14_eulph_v1 | 국립국어원 표준 발음법 제14항</t>
        </is>
      </c>
      <c r="H22" s="9" t="inlineStr"/>
    </row>
    <row r="23">
      <c r="A23" s="9" t="inlineStr">
        <is>
          <t>no_path</t>
        </is>
      </c>
      <c r="B23" s="9" t="inlineStr">
        <is>
          <t>읊으려면</t>
        </is>
      </c>
      <c r="C23" s="9" t="inlineStr">
        <is>
          <t>을프려면</t>
        </is>
      </c>
      <c r="D23" s="9" t="inlineStr">
        <is>
          <t>ɨ ɭ pʰ ɨ ɾʲ ʌ mʲ ʌ n</t>
        </is>
      </c>
      <c r="E23" s="9" t="inlineStr"/>
      <c r="F23" s="9" t="inlineStr">
        <is>
          <t>pending</t>
        </is>
      </c>
      <c r="G23" s="9" t="inlineStr">
        <is>
          <t>standard_pron_rule14_eulph_v1 | 국립국어원 표준 발음법 제14항</t>
        </is>
      </c>
      <c r="H23" s="9" t="inlineStr"/>
    </row>
    <row r="24">
      <c r="A24" s="9" t="inlineStr">
        <is>
          <t>no_path</t>
        </is>
      </c>
      <c r="B24" s="9" t="inlineStr">
        <is>
          <t>읊으면서</t>
        </is>
      </c>
      <c r="C24" s="9" t="inlineStr">
        <is>
          <t>을프면서</t>
        </is>
      </c>
      <c r="D24" s="9" t="inlineStr">
        <is>
          <t>ɨ ɭ pʰ ɨ mʲ ʌ n sʰ ʌ</t>
        </is>
      </c>
      <c r="E24" s="9" t="inlineStr"/>
      <c r="F24" s="9" t="inlineStr">
        <is>
          <t>pending</t>
        </is>
      </c>
      <c r="G24" s="9" t="inlineStr">
        <is>
          <t>standard_pron_rule14_eulph_v1 | 국립국어원 표준 발음법 제14항</t>
        </is>
      </c>
      <c r="H24" s="9" t="inlineStr"/>
    </row>
    <row r="25">
      <c r="A25" s="9" t="inlineStr">
        <is>
          <t>no_path</t>
        </is>
      </c>
      <c r="B25" s="9" t="inlineStr">
        <is>
          <t>읊으시기도</t>
        </is>
      </c>
      <c r="C25" s="9" t="inlineStr">
        <is>
          <t>을프시기도</t>
        </is>
      </c>
      <c r="D25" s="9" t="inlineStr">
        <is>
          <t>ɨ ɭ pʰ ɨ ɕʰ i ɟ i d o</t>
        </is>
      </c>
      <c r="E25" s="9" t="inlineStr"/>
      <c r="F25" s="9" t="inlineStr">
        <is>
          <t>pending</t>
        </is>
      </c>
      <c r="G25" s="9" t="inlineStr">
        <is>
          <t>standard_pron_rule14_eulph_v1 | 국립국어원 표준 발음법 제14항</t>
        </is>
      </c>
      <c r="H25" s="9" t="inlineStr"/>
    </row>
    <row r="26">
      <c r="A26" s="9" t="inlineStr">
        <is>
          <t>jamo_ls</t>
        </is>
      </c>
      <c r="B26" s="9" t="inlineStr">
        <is>
          <t>외곬수적인</t>
        </is>
      </c>
      <c r="C26" s="9" t="inlineStr">
        <is>
          <t>외골ᆺ수적인</t>
        </is>
      </c>
      <c r="D26" s="9" t="inlineStr">
        <is>
          <t>w eː ɡ o ɭ sʰ s u dʑ ʌ ɟ i n</t>
        </is>
      </c>
      <c r="E26" s="9" t="inlineStr"/>
      <c r="F26" s="9" t="inlineStr">
        <is>
          <t>pending</t>
        </is>
      </c>
      <c r="G26" s="9" t="inlineStr"/>
      <c r="H26" s="9" t="inlineStr"/>
    </row>
    <row r="27">
      <c r="A27" s="9" t="inlineStr">
        <is>
          <t>jamo_ls</t>
        </is>
      </c>
      <c r="B27" s="9" t="inlineStr">
        <is>
          <t>외곬을</t>
        </is>
      </c>
      <c r="C27" s="9" t="inlineStr">
        <is>
          <t>외골ᆺ을</t>
        </is>
      </c>
      <c r="D27" s="9" t="inlineStr">
        <is>
          <t>w eː ɡ o ɭ sʰ ɨ ɭ</t>
        </is>
      </c>
      <c r="E27" s="9" t="inlineStr"/>
      <c r="F27" s="9" t="inlineStr">
        <is>
          <t>pending</t>
        </is>
      </c>
      <c r="G27" s="9" t="inlineStr"/>
      <c r="H27" s="9" t="inlineStr"/>
    </row>
    <row r="28">
      <c r="A28" s="9" t="inlineStr">
        <is>
          <t>jamo_ls</t>
        </is>
      </c>
      <c r="B28" s="9" t="inlineStr">
        <is>
          <t>외곬의</t>
        </is>
      </c>
      <c r="C28" s="9" t="inlineStr">
        <is>
          <t>외골ᆺ의</t>
        </is>
      </c>
      <c r="D28" s="9" t="inlineStr">
        <is>
          <t>w eː ɡ o ɭ t̚ ɰ i</t>
        </is>
      </c>
      <c r="E28" s="9" t="inlineStr"/>
      <c r="F28" s="9" t="inlineStr">
        <is>
          <t>pending</t>
        </is>
      </c>
      <c r="G28" s="9" t="inlineStr"/>
      <c r="H28" s="9" t="inlineStr"/>
    </row>
    <row r="29">
      <c r="A29" s="9" t="inlineStr">
        <is>
          <t>jamo_ls</t>
        </is>
      </c>
      <c r="B29" s="9" t="inlineStr">
        <is>
          <t>천구백칤비육</t>
        </is>
      </c>
      <c r="C29" s="9" t="inlineStr">
        <is>
          <t>천구백칠ᆺ비육</t>
        </is>
      </c>
      <c r="D29" s="9" t="inlineStr">
        <is>
          <t>tɕʰ ʌ ŋ ɡ u b ɛː k̚ tɕʰ i ɭ t̚ pʲ i j u k̚</t>
        </is>
      </c>
      <c r="E29" s="9" t="inlineStr"/>
      <c r="F29" s="9" t="inlineStr">
        <is>
          <t>pending</t>
        </is>
      </c>
      <c r="G29" s="9" t="inlineStr"/>
      <c r="H29" s="9" t="inlineStr"/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70" customWidth="1" min="3" max="3"/>
    <col width="18" customWidth="1" min="4" max="4"/>
  </cols>
  <sheetData>
    <row r="1" ht="34" customHeight="1">
      <c r="A1" s="8" t="inlineStr">
        <is>
          <t>evidence_id</t>
        </is>
      </c>
      <c r="B1" s="8" t="inlineStr">
        <is>
          <t>scope</t>
        </is>
      </c>
      <c r="C1" s="8" t="inlineStr">
        <is>
          <t>finding</t>
        </is>
      </c>
      <c r="D1" s="8" t="inlineStr">
        <is>
          <t>source</t>
        </is>
      </c>
    </row>
    <row r="2">
      <c r="A2" s="9" t="inlineStr">
        <is>
          <t>RULE11</t>
        </is>
      </c>
      <c r="B2" s="9" t="inlineStr">
        <is>
          <t>읊고</t>
        </is>
      </c>
      <c r="C2" s="9" t="inlineStr">
        <is>
          <t>표준 발음법 제11항: 읊고[읍꼬]</t>
        </is>
      </c>
      <c r="D2" s="10" t="inlineStr">
        <is>
          <t>근거 열기</t>
        </is>
      </c>
    </row>
    <row r="3">
      <c r="A3" s="9" t="inlineStr">
        <is>
          <t>RULE14</t>
        </is>
      </c>
      <c r="B3" s="9" t="inlineStr">
        <is>
          <t>읊어·외곬을</t>
        </is>
      </c>
      <c r="C3" s="9" t="inlineStr">
        <is>
          <t>제14항: 읊어[을퍼], 곬이[골씨]; ㄽ의 ㅅ은 모음 앞 [ㅆ]</t>
        </is>
      </c>
      <c r="D3" s="10" t="inlineStr">
        <is>
          <t>근거 열기</t>
        </is>
      </c>
    </row>
    <row r="4">
      <c r="A4" s="9" t="inlineStr">
        <is>
          <t>RULE18</t>
        </is>
      </c>
      <c r="B4" s="9" t="inlineStr">
        <is>
          <t>읊는</t>
        </is>
      </c>
      <c r="C4" s="9" t="inlineStr">
        <is>
          <t>제18항: 읊는[음는]</t>
        </is>
      </c>
      <c r="D4" s="10" t="inlineStr">
        <is>
          <t>근거 열기</t>
        </is>
      </c>
    </row>
    <row r="5">
      <c r="A5" s="9" t="inlineStr">
        <is>
          <t>OEGOLSI</t>
        </is>
      </c>
      <c r="B5" s="9" t="inlineStr">
        <is>
          <t>외곬의</t>
        </is>
      </c>
      <c r="C5" s="9" t="inlineStr">
        <is>
          <t>원칙 [외골씌], 허용 [외골쎄]</t>
        </is>
      </c>
      <c r="D5" s="10" t="inlineStr">
        <is>
          <t>근거 열기</t>
        </is>
      </c>
    </row>
    <row r="6">
      <c r="A6" s="9" t="inlineStr">
        <is>
          <t>CHILSIP</t>
        </is>
      </c>
      <c r="B6" s="9" t="inlineStr">
        <is>
          <t>1976</t>
        </is>
      </c>
      <c r="C6" s="9" t="inlineStr">
        <is>
          <t>한국어기초사전: 칠십[칠씹]</t>
        </is>
      </c>
      <c r="D6" s="10" t="inlineStr">
        <is>
          <t>근거 열기</t>
        </is>
      </c>
    </row>
    <row r="7">
      <c r="A7" s="9" t="inlineStr">
        <is>
          <t>SIPYUK</t>
        </is>
      </c>
      <c r="B7" s="9" t="inlineStr">
        <is>
          <t>1976</t>
        </is>
      </c>
      <c r="C7" s="9" t="inlineStr">
        <is>
          <t>국립국어원: 십육[심뉵]</t>
        </is>
      </c>
      <c r="D7" s="10" t="inlineStr">
        <is>
          <t>근거 열기</t>
        </is>
      </c>
    </row>
    <row r="8">
      <c r="A8" s="9" t="inlineStr">
        <is>
          <t>OEGOLSU</t>
        </is>
      </c>
      <c r="B8" s="9" t="inlineStr">
        <is>
          <t>외곬수적인</t>
        </is>
      </c>
      <c r="C8" s="9" t="inlineStr">
        <is>
          <t>외곬과 외골수는 구조·뜻이 다른 어휘; 원전사 교정 검토 필요</t>
        </is>
      </c>
      <c r="D8" s="10" t="inlineStr">
        <is>
          <t>근거 열기</t>
        </is>
      </c>
    </row>
    <row r="9">
      <c r="A9" s="9" t="inlineStr">
        <is>
          <t>NIKL_LEXICON</t>
        </is>
      </c>
      <c r="B9" s="9" t="inlineStr">
        <is>
          <t>외골수</t>
        </is>
      </c>
      <c r="C9" s="9" t="inlineStr">
        <is>
          <t>로컬 NIKL 어휘부에 외골수 제1 발음 외골쑤/웨골쑤</t>
        </is>
      </c>
      <c r="D9" s="10" t="inlineStr">
        <is>
          <t>근거 열기</t>
        </is>
      </c>
    </row>
    <row r="12" ht="34" customHeight="1">
      <c r="A12" s="8" t="inlineStr">
        <is>
          <t>word</t>
        </is>
      </c>
      <c r="B12" s="8" t="inlineStr">
        <is>
          <t>sense_no</t>
        </is>
      </c>
      <c r="C12" s="8" t="inlineStr">
        <is>
          <t>pos_full</t>
        </is>
      </c>
      <c r="D12" s="8" t="inlineStr">
        <is>
          <t>pron_1</t>
        </is>
      </c>
      <c r="E12" s="8" t="inlineStr">
        <is>
          <t>pron_2</t>
        </is>
      </c>
      <c r="F12" s="8" t="inlineStr">
        <is>
          <t>pron_g2p</t>
        </is>
      </c>
      <c r="G12" s="8" t="inlineStr">
        <is>
          <t>origin</t>
        </is>
      </c>
      <c r="H12" s="8" t="inlineStr">
        <is>
          <t>urimal_id</t>
        </is>
      </c>
      <c r="I12" s="8" t="inlineStr">
        <is>
          <t>in_stdict</t>
        </is>
      </c>
    </row>
    <row r="13" ht="28" customHeight="1">
      <c r="A13" s="9" t="inlineStr">
        <is>
          <t>외골수</t>
        </is>
      </c>
      <c r="B13" s="9" t="inlineStr">
        <is>
          <t>001</t>
        </is>
      </c>
      <c r="C13" s="9" t="inlineStr">
        <is>
          <t>명사</t>
        </is>
      </c>
      <c r="D13" s="9" t="inlineStr">
        <is>
          <t>외골쑤</t>
        </is>
      </c>
      <c r="E13" s="9" t="inlineStr">
        <is>
          <t>웨골쑤</t>
        </is>
      </c>
      <c r="F13" s="9" t="inlineStr"/>
      <c r="G13" s="9" t="inlineStr">
        <is>
          <t>외+骨髓</t>
        </is>
      </c>
      <c r="H13" s="9" t="inlineStr">
        <is>
          <t>18938</t>
        </is>
      </c>
      <c r="I13" s="9" t="inlineStr">
        <is>
          <t>True</t>
        </is>
      </c>
    </row>
    <row r="14" ht="28" customHeight="1">
      <c r="A14" s="9" t="inlineStr">
        <is>
          <t>외골수</t>
        </is>
      </c>
      <c r="B14" s="9" t="inlineStr">
        <is>
          <t>002</t>
        </is>
      </c>
      <c r="C14" s="9" t="inlineStr">
        <is>
          <t>명사</t>
        </is>
      </c>
      <c r="D14" s="9" t="inlineStr"/>
      <c r="E14" s="9" t="inlineStr"/>
      <c r="F14" s="9" t="inlineStr">
        <is>
          <t>외골수</t>
        </is>
      </c>
      <c r="G14" s="9" t="inlineStr">
        <is>
          <t>외+骨髓</t>
        </is>
      </c>
      <c r="H14" s="9" t="inlineStr">
        <is>
          <t>49630</t>
        </is>
      </c>
      <c r="I14" s="9" t="inlineStr">
        <is>
          <t>True</t>
        </is>
      </c>
    </row>
    <row r="15" ht="28" customHeight="1">
      <c r="A15" s="9" t="inlineStr">
        <is>
          <t>외골수</t>
        </is>
      </c>
      <c r="B15" s="9" t="inlineStr">
        <is>
          <t>003</t>
        </is>
      </c>
      <c r="C15" s="9" t="inlineStr">
        <is>
          <t>명사</t>
        </is>
      </c>
      <c r="D15" s="9" t="inlineStr"/>
      <c r="E15" s="9" t="inlineStr"/>
      <c r="F15" s="9" t="inlineStr">
        <is>
          <t>외골수</t>
        </is>
      </c>
      <c r="G15" s="9" t="inlineStr">
        <is>
          <t>외+骨髓</t>
        </is>
      </c>
      <c r="H15" s="9" t="inlineStr">
        <is>
          <t>1273322</t>
        </is>
      </c>
      <c r="I15" s="9" t="inlineStr">
        <is>
          <t>True</t>
        </is>
      </c>
    </row>
    <row r="16" ht="28" customHeight="1">
      <c r="A16" s="9" t="inlineStr">
        <is>
          <t>외곬</t>
        </is>
      </c>
      <c r="B16" s="9" t="inlineStr">
        <is>
          <t>001</t>
        </is>
      </c>
      <c r="C16" s="9" t="inlineStr">
        <is>
          <t>명사</t>
        </is>
      </c>
      <c r="D16" s="9" t="inlineStr">
        <is>
          <t>외골</t>
        </is>
      </c>
      <c r="E16" s="9" t="inlineStr">
        <is>
          <t>웨골</t>
        </is>
      </c>
      <c r="F16" s="9" t="inlineStr"/>
      <c r="G16" s="9" t="inlineStr"/>
      <c r="H16" s="9" t="inlineStr">
        <is>
          <t>18946</t>
        </is>
      </c>
      <c r="I16" s="9" t="inlineStr">
        <is>
          <t>True</t>
        </is>
      </c>
    </row>
    <row r="17" ht="28" customHeight="1">
      <c r="A17" s="9" t="inlineStr">
        <is>
          <t>외곬</t>
        </is>
      </c>
      <c r="B17" s="9" t="inlineStr">
        <is>
          <t>002</t>
        </is>
      </c>
      <c r="C17" s="9" t="inlineStr">
        <is>
          <t>명사</t>
        </is>
      </c>
      <c r="D17" s="9" t="inlineStr">
        <is>
          <t>외골</t>
        </is>
      </c>
      <c r="E17" s="9" t="inlineStr">
        <is>
          <t>웨골</t>
        </is>
      </c>
      <c r="F17" s="9" t="inlineStr"/>
      <c r="G17" s="9" t="inlineStr"/>
      <c r="H17" s="9" t="inlineStr">
        <is>
          <t>49686</t>
        </is>
      </c>
      <c r="I17" s="9" t="inlineStr">
        <is>
          <t>True</t>
        </is>
      </c>
    </row>
    <row r="18" ht="28" customHeight="1">
      <c r="A18" s="9" t="inlineStr">
        <is>
          <t>읊다</t>
        </is>
      </c>
      <c r="B18" s="9" t="inlineStr">
        <is>
          <t>001</t>
        </is>
      </c>
      <c r="C18" s="9" t="inlineStr">
        <is>
          <t>동사</t>
        </is>
      </c>
      <c r="D18" s="9" t="inlineStr">
        <is>
          <t>읍따</t>
        </is>
      </c>
      <c r="E18" s="9" t="inlineStr"/>
      <c r="F18" s="9" t="inlineStr"/>
      <c r="G18" s="9" t="inlineStr"/>
      <c r="H18" s="9" t="inlineStr">
        <is>
          <t>369571</t>
        </is>
      </c>
      <c r="I18" s="9" t="inlineStr">
        <is>
          <t>True</t>
        </is>
      </c>
    </row>
    <row r="19" ht="28" customHeight="1">
      <c r="A19" s="9" t="inlineStr">
        <is>
          <t>읊다</t>
        </is>
      </c>
      <c r="B19" s="9" t="inlineStr">
        <is>
          <t>001</t>
        </is>
      </c>
      <c r="C19" s="9" t="inlineStr">
        <is>
          <t>동사</t>
        </is>
      </c>
      <c r="D19" s="9" t="inlineStr">
        <is>
          <t>읍따</t>
        </is>
      </c>
      <c r="E19" s="9" t="inlineStr"/>
      <c r="F19" s="9" t="inlineStr"/>
      <c r="G19" s="9" t="inlineStr"/>
      <c r="H19" s="9" t="inlineStr">
        <is>
          <t>369571</t>
        </is>
      </c>
      <c r="I19" s="9" t="inlineStr">
        <is>
          <t>True</t>
        </is>
      </c>
    </row>
    <row r="20" ht="28" customHeight="1">
      <c r="A20" s="9" t="inlineStr">
        <is>
          <t>읊다</t>
        </is>
      </c>
      <c r="B20" s="9" t="inlineStr">
        <is>
          <t>002</t>
        </is>
      </c>
      <c r="C20" s="9" t="inlineStr">
        <is>
          <t>동사</t>
        </is>
      </c>
      <c r="D20" s="9" t="inlineStr">
        <is>
          <t>읍따</t>
        </is>
      </c>
      <c r="E20" s="9" t="inlineStr"/>
      <c r="F20" s="9" t="inlineStr"/>
      <c r="G20" s="9" t="inlineStr"/>
      <c r="H20" s="9" t="inlineStr">
        <is>
          <t>372913</t>
        </is>
      </c>
      <c r="I20" s="9" t="inlineStr">
        <is>
          <t>True</t>
        </is>
      </c>
    </row>
    <row r="21" ht="28" customHeight="1">
      <c r="A21" s="9" t="inlineStr">
        <is>
          <t>읊다</t>
        </is>
      </c>
      <c r="B21" s="9" t="inlineStr">
        <is>
          <t>002</t>
        </is>
      </c>
      <c r="C21" s="9" t="inlineStr">
        <is>
          <t>동사</t>
        </is>
      </c>
      <c r="D21" s="9" t="inlineStr">
        <is>
          <t>읍따</t>
        </is>
      </c>
      <c r="E21" s="9" t="inlineStr"/>
      <c r="F21" s="9" t="inlineStr"/>
      <c r="G21" s="9" t="inlineStr"/>
      <c r="H21" s="9" t="inlineStr">
        <is>
          <t>372913</t>
        </is>
      </c>
      <c r="I21" s="9" t="inlineStr">
        <is>
          <t>True</t>
        </is>
      </c>
    </row>
    <row r="22" ht="28" customHeight="1">
      <c r="A22" s="9" t="inlineStr">
        <is>
          <t>칠십</t>
        </is>
      </c>
      <c r="B22" s="9" t="inlineStr">
        <is>
          <t>001</t>
        </is>
      </c>
      <c r="C22" s="9" t="inlineStr">
        <is>
          <t>수사</t>
        </is>
      </c>
      <c r="D22" s="9" t="inlineStr">
        <is>
          <t>칠씹</t>
        </is>
      </c>
      <c r="E22" s="9" t="inlineStr"/>
      <c r="F22" s="9" t="inlineStr"/>
      <c r="G22" s="9" t="inlineStr">
        <is>
          <t>七十</t>
        </is>
      </c>
      <c r="H22" s="9" t="inlineStr">
        <is>
          <t>510752</t>
        </is>
      </c>
      <c r="I22" s="9" t="inlineStr">
        <is>
          <t>True</t>
        </is>
      </c>
    </row>
    <row r="23" ht="28" customHeight="1">
      <c r="A23" s="9" t="inlineStr">
        <is>
          <t>칠십</t>
        </is>
      </c>
      <c r="B23" s="9" t="inlineStr">
        <is>
          <t>001</t>
        </is>
      </c>
      <c r="C23" s="9" t="inlineStr">
        <is>
          <t>수사</t>
        </is>
      </c>
      <c r="D23" s="9" t="inlineStr">
        <is>
          <t>칠씹</t>
        </is>
      </c>
      <c r="E23" s="9" t="inlineStr"/>
      <c r="F23" s="9" t="inlineStr"/>
      <c r="G23" s="9" t="inlineStr">
        <is>
          <t>七十</t>
        </is>
      </c>
      <c r="H23" s="9" t="inlineStr">
        <is>
          <t>510752</t>
        </is>
      </c>
      <c r="I23" s="9" t="inlineStr">
        <is>
          <t>True</t>
        </is>
      </c>
    </row>
    <row r="24" ht="28" customHeight="1">
      <c r="A24" s="9" t="inlineStr">
        <is>
          <t>칠십</t>
        </is>
      </c>
      <c r="B24" s="9" t="inlineStr">
        <is>
          <t>002</t>
        </is>
      </c>
      <c r="C24" s="9" t="inlineStr">
        <is>
          <t>관형사</t>
        </is>
      </c>
      <c r="D24" s="9" t="inlineStr">
        <is>
          <t>칠씹</t>
        </is>
      </c>
      <c r="E24" s="9" t="inlineStr"/>
      <c r="F24" s="9" t="inlineStr"/>
      <c r="G24" s="9" t="inlineStr">
        <is>
          <t>七十</t>
        </is>
      </c>
      <c r="H24" s="9" t="inlineStr">
        <is>
          <t>2695</t>
        </is>
      </c>
      <c r="I24" s="9" t="inlineStr">
        <is>
          <t>False</t>
        </is>
      </c>
    </row>
    <row r="25" ht="28" customHeight="1">
      <c r="A25" s="9" t="inlineStr">
        <is>
          <t>칠십</t>
        </is>
      </c>
      <c r="B25" s="9" t="inlineStr">
        <is>
          <t>003</t>
        </is>
      </c>
      <c r="C25" s="9" t="inlineStr">
        <is>
          <t>관형사</t>
        </is>
      </c>
      <c r="D25" s="9" t="inlineStr">
        <is>
          <t>칠씹</t>
        </is>
      </c>
      <c r="E25" s="9" t="inlineStr"/>
      <c r="F25" s="9" t="inlineStr"/>
      <c r="G25" s="9" t="inlineStr">
        <is>
          <t>七十</t>
        </is>
      </c>
      <c r="H25" s="9" t="inlineStr">
        <is>
          <t>31769</t>
        </is>
      </c>
      <c r="I25" s="9" t="inlineStr">
        <is>
          <t>False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  <pageSetup fitToHeight="0" fitToWidth="1"/>
  <tableParts count="2">
    <tablePart xmlns:r="http://schemas.openxmlformats.org/officeDocument/2006/relationships" r:id="rId9"/>
    <tablePart xmlns:r="http://schemas.openxmlformats.org/officeDocument/2006/relationships" r:id="rId10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72" customWidth="1" min="3" max="3"/>
    <col width="45" customWidth="1" min="4" max="4"/>
  </cols>
  <sheetData>
    <row r="1" ht="34" customHeight="1">
      <c r="A1" s="8" t="inlineStr">
        <is>
          <t>probe_set</t>
        </is>
      </c>
      <c r="B1" s="8" t="inlineStr">
        <is>
          <t>input</t>
        </is>
      </c>
      <c r="C1" s="8" t="inlineStr">
        <is>
          <t>phones</t>
        </is>
      </c>
      <c r="D1" s="8" t="inlineStr">
        <is>
          <t>purpose</t>
        </is>
      </c>
    </row>
    <row r="2">
      <c r="A2" s="9" t="inlineStr">
        <is>
          <t>original_20260729</t>
        </is>
      </c>
      <c r="B2" s="9" t="inlineStr">
        <is>
          <t>외골수적인</t>
        </is>
      </c>
      <c r="C2" s="9" t="inlineStr">
        <is>
          <t>w eː ɡ o ɭ s u dʑ ʌ ɟ i n</t>
        </is>
      </c>
      <c r="D2" s="9" t="inlineStr">
        <is>
          <t>Jamo ㄽ 및 no-path 후보 분해 확인</t>
        </is>
      </c>
    </row>
    <row r="3">
      <c r="A3" s="9" t="inlineStr">
        <is>
          <t>original_20260729</t>
        </is>
      </c>
      <c r="B3" s="9" t="inlineStr">
        <is>
          <t>외골수저긴</t>
        </is>
      </c>
      <c r="C3" s="9" t="inlineStr">
        <is>
          <t>w eː ɡ o ɭ s u dʑ ʌ ɟ i n</t>
        </is>
      </c>
      <c r="D3" s="9" t="inlineStr">
        <is>
          <t>Jamo ㄽ 및 no-path 후보 분해 확인</t>
        </is>
      </c>
    </row>
    <row r="4">
      <c r="A4" s="9" t="inlineStr">
        <is>
          <t>original_20260729</t>
        </is>
      </c>
      <c r="B4" s="9" t="inlineStr">
        <is>
          <t>외골쓸</t>
        </is>
      </c>
      <c r="C4" s="9" t="inlineStr">
        <is>
          <t>w eː ɡ o ɭ s͈ ɨ ɭ</t>
        </is>
      </c>
      <c r="D4" s="9" t="inlineStr">
        <is>
          <t>Jamo ㄽ 및 no-path 후보 분해 확인</t>
        </is>
      </c>
    </row>
    <row r="5">
      <c r="A5" s="9" t="inlineStr">
        <is>
          <t>original_20260729</t>
        </is>
      </c>
      <c r="B5" s="9" t="inlineStr">
        <is>
          <t>외골씌</t>
        </is>
      </c>
      <c r="C5" s="9" t="inlineStr">
        <is>
          <t>w eː ɡ o ɭ ɕ͈ i</t>
        </is>
      </c>
      <c r="D5" s="9" t="inlineStr">
        <is>
          <t>Jamo ㄽ 및 no-path 후보 분해 확인</t>
        </is>
      </c>
    </row>
    <row r="6">
      <c r="A6" s="9" t="inlineStr">
        <is>
          <t>original_20260729</t>
        </is>
      </c>
      <c r="B6" s="9" t="inlineStr">
        <is>
          <t>외골쎄</t>
        </is>
      </c>
      <c r="C6" s="9" t="inlineStr">
        <is>
          <t>w eː ɡ o ɭ s͈ e</t>
        </is>
      </c>
      <c r="D6" s="9" t="inlineStr">
        <is>
          <t>Jamo ㄽ 및 no-path 후보 분해 확인</t>
        </is>
      </c>
    </row>
    <row r="7">
      <c r="A7" s="9" t="inlineStr">
        <is>
          <t>original_20260729</t>
        </is>
      </c>
      <c r="B7" s="9" t="inlineStr">
        <is>
          <t>천구백칠십육</t>
        </is>
      </c>
      <c r="C7" s="9" t="inlineStr">
        <is>
          <t>tɕʰ ʌ ŋ ɡ u b ɛː k̚ tɕʰ i ɭ ɕʰ i m ɲ u k̚</t>
        </is>
      </c>
      <c r="D7" s="9" t="inlineStr">
        <is>
          <t>Jamo ㄽ 및 no-path 후보 분해 확인</t>
        </is>
      </c>
    </row>
    <row r="8">
      <c r="A8" s="9" t="inlineStr">
        <is>
          <t>original_20260729</t>
        </is>
      </c>
      <c r="B8" s="9" t="inlineStr">
        <is>
          <t>천구백칠심뉵</t>
        </is>
      </c>
      <c r="C8" s="9" t="inlineStr">
        <is>
          <t>tɕʰ ʌ ŋ ɡ u b ɛː k̚ tɕʰ i ɭ ɕ͈ i m ɲ u k̚</t>
        </is>
      </c>
      <c r="D8" s="9" t="inlineStr">
        <is>
          <t>Jamo ㄽ 및 no-path 후보 분해 확인</t>
        </is>
      </c>
    </row>
    <row r="9">
      <c r="A9" s="9" t="inlineStr">
        <is>
          <t>original_20260729</t>
        </is>
      </c>
      <c r="B9" s="9" t="inlineStr">
        <is>
          <t>읍</t>
        </is>
      </c>
      <c r="C9" s="9" t="inlineStr">
        <is>
          <t>ɨ p̚</t>
        </is>
      </c>
      <c r="D9" s="9" t="inlineStr">
        <is>
          <t>Jamo ㄽ 및 no-path 후보 분해 확인</t>
        </is>
      </c>
    </row>
    <row r="10">
      <c r="A10" s="9" t="inlineStr">
        <is>
          <t>original_20260729</t>
        </is>
      </c>
      <c r="B10" s="9" t="inlineStr">
        <is>
          <t>꼬</t>
        </is>
      </c>
      <c r="C10" s="9" t="inlineStr">
        <is>
          <t>k͈ o</t>
        </is>
      </c>
      <c r="D10" s="9" t="inlineStr">
        <is>
          <t>Jamo ㄽ 및 no-path 후보 분해 확인</t>
        </is>
      </c>
    </row>
    <row r="11">
      <c r="A11" s="9" t="inlineStr">
        <is>
          <t>original_20260729</t>
        </is>
      </c>
      <c r="B11" s="9" t="inlineStr">
        <is>
          <t>읍꼬</t>
        </is>
      </c>
      <c r="C11" s="9" t="inlineStr">
        <is>
          <t>ɨː m k͈ o</t>
        </is>
      </c>
      <c r="D11" s="9" t="inlineStr">
        <is>
          <t>Jamo ㄽ 및 no-path 후보 분해 확인</t>
        </is>
      </c>
    </row>
    <row r="12">
      <c r="A12" s="9" t="inlineStr">
        <is>
          <t>original_20260729</t>
        </is>
      </c>
      <c r="B12" s="9" t="inlineStr">
        <is>
          <t>읍끄</t>
        </is>
      </c>
      <c r="C12" s="9" t="inlineStr">
        <is>
          <t>ɨ p̚ k͈ ɨ</t>
        </is>
      </c>
      <c r="D12" s="9" t="inlineStr">
        <is>
          <t>Jamo ㄽ 및 no-path 후보 분해 확인</t>
        </is>
      </c>
    </row>
    <row r="13">
      <c r="A13" s="9" t="inlineStr">
        <is>
          <t>original_20260729</t>
        </is>
      </c>
      <c r="B13" s="9" t="inlineStr">
        <is>
          <t>읖꼬</t>
        </is>
      </c>
      <c r="C13" s="9" t="inlineStr">
        <is>
          <t>ɨ p̚ k͈ o</t>
        </is>
      </c>
      <c r="D13" s="9" t="inlineStr">
        <is>
          <t>Jamo ㄽ 및 no-path 후보 분해 확인</t>
        </is>
      </c>
    </row>
    <row r="14">
      <c r="A14" s="9" t="inlineStr">
        <is>
          <t>original_20260729</t>
        </is>
      </c>
      <c r="B14" s="9" t="inlineStr">
        <is>
          <t>을프꼬</t>
        </is>
      </c>
      <c r="C14" s="9" t="inlineStr">
        <is>
          <t>ɨ ɭ pʰ ɨ k͈ o</t>
        </is>
      </c>
      <c r="D14" s="9" t="inlineStr">
        <is>
          <t>Jamo ㄽ 및 no-path 후보 분해 확인</t>
        </is>
      </c>
    </row>
    <row r="15">
      <c r="A15" s="9" t="inlineStr">
        <is>
          <t>addendum_1best_20260729</t>
        </is>
      </c>
      <c r="B15" s="9" t="inlineStr">
        <is>
          <t>외골수</t>
        </is>
      </c>
      <c r="C15" s="9" t="inlineStr">
        <is>
          <t>w eː ɡ o ɭ s u</t>
        </is>
      </c>
      <c r="D15" s="9" t="inlineStr">
        <is>
          <t>외골수·1976 source correction 후보 확인</t>
        </is>
      </c>
    </row>
    <row r="16">
      <c r="A16" s="9" t="inlineStr">
        <is>
          <t>addendum_1best_20260729</t>
        </is>
      </c>
      <c r="B16" s="9" t="inlineStr">
        <is>
          <t>외골쑤</t>
        </is>
      </c>
      <c r="C16" s="9" t="inlineStr">
        <is>
          <t>w eː ɡ o ɭ s͈ u</t>
        </is>
      </c>
      <c r="D16" s="9" t="inlineStr">
        <is>
          <t>외골수·1976 source correction 후보 확인</t>
        </is>
      </c>
    </row>
    <row r="17">
      <c r="A17" s="9" t="inlineStr">
        <is>
          <t>addendum_1best_20260729</t>
        </is>
      </c>
      <c r="B17" s="9" t="inlineStr">
        <is>
          <t>외골수적인</t>
        </is>
      </c>
      <c r="C17" s="9" t="inlineStr">
        <is>
          <t>w eː ɡ o ɭ s u dʑ ʌ ɟ i n</t>
        </is>
      </c>
      <c r="D17" s="9" t="inlineStr">
        <is>
          <t>외골수·1976 source correction 후보 확인</t>
        </is>
      </c>
    </row>
    <row r="18">
      <c r="A18" s="9" t="inlineStr">
        <is>
          <t>addendum_1best_20260729</t>
        </is>
      </c>
      <c r="B18" s="9" t="inlineStr">
        <is>
          <t>외골수저긴</t>
        </is>
      </c>
      <c r="C18" s="9" t="inlineStr">
        <is>
          <t>w eː ɡ o ɭ s u dʑ ʌ ɟ i n</t>
        </is>
      </c>
      <c r="D18" s="9" t="inlineStr">
        <is>
          <t>외골수·1976 source correction 후보 확인</t>
        </is>
      </c>
    </row>
    <row r="19">
      <c r="A19" s="9" t="inlineStr">
        <is>
          <t>addendum_1best_20260729</t>
        </is>
      </c>
      <c r="B19" s="9" t="inlineStr">
        <is>
          <t>외골쑤저긴</t>
        </is>
      </c>
      <c r="C19" s="9" t="inlineStr">
        <is>
          <t>w eː ɡ o ɭ s͈ u tɕ ʌ ɟ i n</t>
        </is>
      </c>
      <c r="D19" s="9" t="inlineStr">
        <is>
          <t>외골수·1976 source correction 후보 확인</t>
        </is>
      </c>
    </row>
    <row r="20">
      <c r="A20" s="9" t="inlineStr">
        <is>
          <t>addendum_1best_20260729</t>
        </is>
      </c>
      <c r="B20" s="9" t="inlineStr">
        <is>
          <t>천구백칠십육</t>
        </is>
      </c>
      <c r="C20" s="9" t="inlineStr">
        <is>
          <t>tɕʰ ʌ ŋ ɡ u b ɛː k̚ tɕʰ i ɭ ɕʰ i m ɲ u k̚</t>
        </is>
      </c>
      <c r="D20" s="9" t="inlineStr">
        <is>
          <t>외골수·1976 source correction 후보 확인</t>
        </is>
      </c>
    </row>
    <row r="21">
      <c r="A21" s="9" t="inlineStr">
        <is>
          <t>addendum_1best_20260729</t>
        </is>
      </c>
      <c r="B21" s="9" t="inlineStr">
        <is>
          <t>천구백칠심뉵</t>
        </is>
      </c>
      <c r="C21" s="9" t="inlineStr">
        <is>
          <t>tɕʰ ʌ ŋ ɡ u b ɛː k̚ tɕʰ i ɭ ɕ͈ i m ɲ u k̚</t>
        </is>
      </c>
      <c r="D21" s="9" t="inlineStr">
        <is>
          <t>외골수·1976 source correction 후보 확인</t>
        </is>
      </c>
    </row>
    <row r="22">
      <c r="A22" s="9" t="inlineStr">
        <is>
          <t>addendum_1best_20260729</t>
        </is>
      </c>
      <c r="B22" s="9" t="inlineStr">
        <is>
          <t>천구백칠씸뉵</t>
        </is>
      </c>
      <c r="C22" s="9" t="inlineStr">
        <is>
          <t>tɕʰ ʌ ŋ ɡ u b ɛː k̚ tɕʰ i ɭ ɕ͈ i m ɲ u k̚</t>
        </is>
      </c>
      <c r="D22" s="9" t="inlineStr">
        <is>
          <t>외골수·1976 source correction 후보 확인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3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5" customWidth="1" min="2" max="2"/>
  </cols>
  <sheetData>
    <row r="1" ht="34" customHeight="1">
      <c r="A1" s="8" t="inlineStr">
        <is>
          <t>key</t>
        </is>
      </c>
      <c r="B1" s="8" t="inlineStr">
        <is>
          <t>value</t>
        </is>
      </c>
    </row>
    <row r="2">
      <c r="A2" s="9" t="inlineStr">
        <is>
          <t>workbook_schema</t>
        </is>
      </c>
      <c r="B2" s="9" t="inlineStr">
        <is>
          <t>common_pron_researcher_review_workbook.v1</t>
        </is>
      </c>
    </row>
    <row r="3">
      <c r="A3" s="9" t="inlineStr">
        <is>
          <t>recorded_at</t>
        </is>
      </c>
      <c r="B3" s="9" t="inlineStr">
        <is>
          <t>2026-07-29T12:57:28+09:00</t>
        </is>
      </c>
    </row>
    <row r="4">
      <c r="A4" s="9" t="inlineStr">
        <is>
          <t>acoustic_version</t>
        </is>
      </c>
      <c r="B4" s="9" t="inlineStr">
        <is>
          <t>3.3.0</t>
        </is>
      </c>
    </row>
    <row r="5">
      <c r="A5" s="9" t="inlineStr">
        <is>
          <t>g2p_version</t>
        </is>
      </c>
      <c r="B5" s="9" t="inlineStr">
        <is>
          <t>3.2.0</t>
        </is>
      </c>
    </row>
    <row r="6">
      <c r="A6" s="9" t="inlineStr">
        <is>
          <t>acoustic_model_sha256</t>
        </is>
      </c>
      <c r="B6" s="9" t="inlineStr">
        <is>
          <t>94bd6cc56d7b019294ba3966620be01ba24a73863bc2c7cc11301ba3cabb159c</t>
        </is>
      </c>
    </row>
    <row r="7">
      <c r="A7" s="9" t="inlineStr">
        <is>
          <t>g2p_model_sha256</t>
        </is>
      </c>
      <c r="B7" s="9" t="inlineStr">
        <is>
          <t>4df7c5fa90da1f401e7a44af360be56158a581a54202e38baedeca53cfed38ff</t>
        </is>
      </c>
    </row>
    <row r="8">
      <c r="A8" s="9" t="inlineStr">
        <is>
          <t>phone_inventory_count</t>
        </is>
      </c>
      <c r="B8" s="9" t="n">
        <v>107</v>
      </c>
    </row>
    <row r="9">
      <c r="A9" s="9" t="inlineStr">
        <is>
          <t>phone_inventory_sha256</t>
        </is>
      </c>
      <c r="B9" s="9" t="inlineStr">
        <is>
          <t>6fbbb2cf1853573e0c387b286ddabfe6073ad64e42282317f73fdef95418940d</t>
        </is>
      </c>
    </row>
    <row r="10">
      <c r="A10" s="9" t="inlineStr">
        <is>
          <t>review_bundle_unique_wavs</t>
        </is>
      </c>
      <c r="B10" s="9" t="n">
        <v>29</v>
      </c>
    </row>
    <row r="11">
      <c r="A11" s="9" t="inlineStr">
        <is>
          <t>review_bundle_hash_equal</t>
        </is>
      </c>
      <c r="B11" s="9" t="b">
        <v>1</v>
      </c>
    </row>
    <row r="12">
      <c r="A12" s="9" t="inlineStr">
        <is>
          <t>source_corpus_modified</t>
        </is>
      </c>
      <c r="B12" s="9" t="b">
        <v>0</v>
      </c>
    </row>
    <row r="13">
      <c r="A13" s="9" t="inlineStr">
        <is>
          <t>approval_applied_to_r2</t>
        </is>
      </c>
      <c r="B13" s="9" t="b">
        <v>0</v>
      </c>
    </row>
    <row r="14">
      <c r="A14" s="9" t="inlineStr"/>
      <c r="B14" s="9" t="inlineStr"/>
    </row>
    <row r="15">
      <c r="A15" s="9" t="inlineStr">
        <is>
          <t>addendum_probe_path</t>
        </is>
      </c>
      <c r="B15" s="9" t="inlineStr">
        <is>
          <t>C:\Users\ari30\research\2026_summer_research\outputs\reports\common_pron_review_probes_addendum_20260729.dict</t>
        </is>
      </c>
    </row>
    <row r="16">
      <c r="A16" s="9" t="inlineStr">
        <is>
          <t>addendum_probe_bytes</t>
        </is>
      </c>
      <c r="B16" s="9" t="n">
        <v>432</v>
      </c>
    </row>
    <row r="17">
      <c r="A17" s="9" t="inlineStr">
        <is>
          <t>addendum_probe_sha256</t>
        </is>
      </c>
      <c r="B17" s="9" t="inlineStr">
        <is>
          <t>d8f622957de03a9f95577b7462957e7ba0a3c06e7c4a91ae4d3c9d4060a6abe7</t>
        </is>
      </c>
    </row>
    <row r="18">
      <c r="A18" s="9" t="inlineStr">
        <is>
          <t>jamo_review_path</t>
        </is>
      </c>
      <c r="B18" s="9" t="inlineStr">
        <is>
          <t>D:\mfa_common_pron\releases\common_pron_mfa_r2_20260728\03_review\jamo_ls_researcher_review.csv</t>
        </is>
      </c>
    </row>
    <row r="19">
      <c r="A19" s="9" t="inlineStr">
        <is>
          <t>jamo_review_bytes</t>
        </is>
      </c>
      <c r="B19" s="9" t="n">
        <v>350</v>
      </c>
    </row>
    <row r="20">
      <c r="A20" s="9" t="inlineStr">
        <is>
          <t>jamo_review_sha256</t>
        </is>
      </c>
      <c r="B20" s="9" t="inlineStr">
        <is>
          <t>fefef964a81b351180adca4e0a84efedac8a25abebd3c255e145125282e52ea1</t>
        </is>
      </c>
    </row>
    <row r="21">
      <c r="A21" s="9" t="inlineStr">
        <is>
          <t>lexicon_path</t>
        </is>
      </c>
      <c r="B21" s="9" t="inlineStr">
        <is>
          <t>D:\00_RAW\reference\03_lexicon_1기\01_NIKL_lexicon_full.csv</t>
        </is>
      </c>
    </row>
    <row r="22">
      <c r="A22" s="9" t="inlineStr">
        <is>
          <t>lexicon_bytes</t>
        </is>
      </c>
      <c r="B22" s="9" t="n">
        <v>280816832</v>
      </c>
    </row>
    <row r="23">
      <c r="A23" s="9" t="inlineStr">
        <is>
          <t>lexicon_sha256</t>
        </is>
      </c>
      <c r="B23" s="9" t="inlineStr">
        <is>
          <t>ad947afd4358e363fee090873a3de946b0f68a8cef889daa16777b9b7e000272</t>
        </is>
      </c>
    </row>
    <row r="24">
      <c r="A24" s="9" t="inlineStr">
        <is>
          <t>model_bundle_path</t>
        </is>
      </c>
      <c r="B24" s="9" t="inlineStr">
        <is>
          <t>C:\Users\ari30\research\2026_summer_research\outputs\reports\korean_mfa_latest_jamo_bundle_20260728.json</t>
        </is>
      </c>
    </row>
    <row r="25">
      <c r="A25" s="9" t="inlineStr">
        <is>
          <t>model_bundle_bytes</t>
        </is>
      </c>
      <c r="B25" s="9" t="n">
        <v>3956</v>
      </c>
    </row>
    <row r="26">
      <c r="A26" s="9" t="inlineStr">
        <is>
          <t>model_bundle_sha256</t>
        </is>
      </c>
      <c r="B26" s="9" t="inlineStr">
        <is>
          <t>2ecb61316952319e44904533ed086915fba1eb7ba3ab315e3b83795de442b787</t>
        </is>
      </c>
    </row>
    <row r="27">
      <c r="A27" s="9" t="inlineStr">
        <is>
          <t>no_path_review_path</t>
        </is>
      </c>
      <c r="B27" s="9" t="inlineStr">
        <is>
          <t>D:\mfa_common_pron\releases\common_pron_mfa_r2_20260728\03_review\g2p_no_path_researcher_review.csv</t>
        </is>
      </c>
    </row>
    <row r="28">
      <c r="A28" s="9" t="inlineStr">
        <is>
          <t>no_path_review_bytes</t>
        </is>
      </c>
      <c r="B28" s="9" t="n">
        <v>4765</v>
      </c>
    </row>
    <row r="29">
      <c r="A29" s="9" t="inlineStr">
        <is>
          <t>no_path_review_sha256</t>
        </is>
      </c>
      <c r="B29" s="9" t="inlineStr">
        <is>
          <t>8f36ad3e958e06ac01411ff36d0bf57654978d59cdaff2c4aa0a33c68c913de6</t>
        </is>
      </c>
    </row>
    <row r="30">
      <c r="A30" s="9" t="inlineStr">
        <is>
          <t>original_probe_path</t>
        </is>
      </c>
      <c r="B30" s="9" t="inlineStr">
        <is>
          <t>C:\Users\ari30\research\2026_summer_research\outputs\reports\common_pron_review_probes_20260729.dict</t>
        </is>
      </c>
    </row>
    <row r="31">
      <c r="A31" s="9" t="inlineStr">
        <is>
          <t>original_probe_bytes</t>
        </is>
      </c>
      <c r="B31" s="9" t="n">
        <v>454</v>
      </c>
    </row>
    <row r="32">
      <c r="A32" s="9" t="inlineStr">
        <is>
          <t>original_probe_sha256</t>
        </is>
      </c>
      <c r="B32" s="9" t="inlineStr">
        <is>
          <t>41a2e68485744de2f27b04a6adcf2e901698de2e97be23dda6b1f06d2f62bd4a</t>
        </is>
      </c>
    </row>
    <row r="33">
      <c r="A33" s="9" t="inlineStr">
        <is>
          <t>staged_manifest_path</t>
        </is>
      </c>
      <c r="B33" s="9" t="inlineStr">
        <is>
          <t>D:\mfa_common_pron\releases\common_pron_mfa_r2_20260728\03_review\researcher_review_bundle_20260729\manifest.json</t>
        </is>
      </c>
    </row>
    <row r="34">
      <c r="A34" s="9" t="inlineStr">
        <is>
          <t>staged_manifest_bytes</t>
        </is>
      </c>
      <c r="B34" s="9" t="n">
        <v>24798</v>
      </c>
    </row>
    <row r="35">
      <c r="A35" s="9" t="inlineStr">
        <is>
          <t>staged_manifest_sha256</t>
        </is>
      </c>
      <c r="B35" s="9" t="inlineStr">
        <is>
          <t>0fb564df09ce55927e31b2cd144331711d0e75745574c8766365d19795964ed4</t>
        </is>
      </c>
    </row>
    <row r="36">
      <c r="A36" s="9" t="inlineStr">
        <is>
          <t>staged_occurrences_path</t>
        </is>
      </c>
      <c r="B36" s="9" t="inlineStr">
        <is>
          <t>D:\mfa_common_pron\releases\common_pron_mfa_r2_20260728\03_review\researcher_review_bundle_20260729\review_occurrences.csv</t>
        </is>
      </c>
    </row>
    <row r="37">
      <c r="A37" s="9" t="inlineStr">
        <is>
          <t>staged_occurrences_bytes</t>
        </is>
      </c>
      <c r="B37" s="9" t="n">
        <v>20397</v>
      </c>
    </row>
    <row r="38">
      <c r="A38" s="9" t="inlineStr">
        <is>
          <t>staged_occurrences_sha256</t>
        </is>
      </c>
      <c r="B38" s="9" t="inlineStr">
        <is>
          <t>27b88d8019a0ad4c8956b386b5b56ac61920cb1d70722e96bb54ca18999e0128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2026-07-29T03:57:28Z</dcterms:created>
  <dcterms:modified xsi:type="dcterms:W3CDTF">2026-07-29T03:57:29Z</dcterms:modified>
</cp:coreProperties>
</file>